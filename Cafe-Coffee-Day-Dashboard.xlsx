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gunas\Desktop\teks.class\Excel\"/>
    </mc:Choice>
  </mc:AlternateContent>
  <xr:revisionPtr revIDLastSave="0" documentId="13_ncr:1_{FCFD2771-D5D0-44D0-9783-87F3D1BA2F8D}" xr6:coauthVersionLast="47" xr6:coauthVersionMax="47" xr10:uidLastSave="{00000000-0000-0000-0000-000000000000}"/>
  <bookViews>
    <workbookView xWindow="-108" yWindow="-108" windowWidth="23256" windowHeight="12456" firstSheet="1" activeTab="2" xr2:uid="{00000000-000D-0000-FFFF-FFFF00000000}"/>
  </bookViews>
  <sheets>
    <sheet name="Sheet1" sheetId="5" state="hidden" r:id="rId1"/>
    <sheet name="Dashboard" sheetId="3" r:id="rId2"/>
    <sheet name="CCD_Sales" sheetId="1" r:id="rId3"/>
    <sheet name="Ideas" sheetId="2" state="hidden" r:id="rId4"/>
    <sheet name="Pivot-T" sheetId="4" state="hidden" r:id="rId5"/>
  </sheets>
  <definedNames>
    <definedName name="_xlnm._FilterDatabase" localSheetId="2" hidden="1">CCD_Sales!$A$1:$L$501</definedName>
    <definedName name="_xlnm._FilterDatabase" localSheetId="4" hidden="1">'Pivot-T'!$F$7:$G$17</definedName>
    <definedName name="Slicer_Product">#N/A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2" i="1"/>
  <c r="F13" i="4"/>
  <c r="F8" i="4"/>
  <c r="I4" i="4" s="1"/>
  <c r="F15" i="4"/>
  <c r="F12" i="4"/>
  <c r="F10" i="4"/>
  <c r="F11" i="4"/>
  <c r="F16" i="4"/>
  <c r="F9" i="4"/>
  <c r="F17" i="4"/>
  <c r="F14" i="4"/>
  <c r="G10" i="4"/>
  <c r="G12" i="4"/>
  <c r="G15" i="4"/>
  <c r="G8" i="4"/>
  <c r="G13" i="4"/>
  <c r="G14" i="4"/>
  <c r="G4" i="4"/>
  <c r="F4" i="4"/>
  <c r="G17" i="4"/>
  <c r="G9" i="4"/>
  <c r="G16" i="4"/>
  <c r="G11" i="4"/>
  <c r="H4" i="4" l="1"/>
</calcChain>
</file>

<file path=xl/sharedStrings.xml><?xml version="1.0" encoding="utf-8"?>
<sst xmlns="http://schemas.openxmlformats.org/spreadsheetml/2006/main" count="4100" uniqueCount="841">
  <si>
    <t>Order_ID</t>
  </si>
  <si>
    <t>Date</t>
  </si>
  <si>
    <t>Store</t>
  </si>
  <si>
    <t>Product</t>
  </si>
  <si>
    <t>Category</t>
  </si>
  <si>
    <t>Quantity</t>
  </si>
  <si>
    <t>Unit_Price</t>
  </si>
  <si>
    <t>Sales</t>
  </si>
  <si>
    <t>Payment_Mode</t>
  </si>
  <si>
    <t>CCD1000</t>
  </si>
  <si>
    <t>2025-10-12</t>
  </si>
  <si>
    <t>Visakhapatnam</t>
  </si>
  <si>
    <t>CCD Beach Road</t>
  </si>
  <si>
    <t>Cappuccino</t>
  </si>
  <si>
    <t>Coffee</t>
  </si>
  <si>
    <t>Card</t>
  </si>
  <si>
    <t>CCD1001</t>
  </si>
  <si>
    <t>2025-10-28</t>
  </si>
  <si>
    <t>Delhi</t>
  </si>
  <si>
    <t>Muffin</t>
  </si>
  <si>
    <t>Dessert</t>
  </si>
  <si>
    <t>Cash</t>
  </si>
  <si>
    <t>CCD1002</t>
  </si>
  <si>
    <t>2025-03-21</t>
  </si>
  <si>
    <t>Hyderabad</t>
  </si>
  <si>
    <t>CCD IT Park</t>
  </si>
  <si>
    <t>Fries</t>
  </si>
  <si>
    <t>Food</t>
  </si>
  <si>
    <t>CCD1003</t>
  </si>
  <si>
    <t>2025-05-08</t>
  </si>
  <si>
    <t>CCD MG Road</t>
  </si>
  <si>
    <t>Latte</t>
  </si>
  <si>
    <t>Wallet</t>
  </si>
  <si>
    <t>CCD1004</t>
  </si>
  <si>
    <t>2025-03-29</t>
  </si>
  <si>
    <t>CCD1005</t>
  </si>
  <si>
    <t>2025-07-01</t>
  </si>
  <si>
    <t>CCD Airport</t>
  </si>
  <si>
    <t>UPI</t>
  </si>
  <si>
    <t>CCD1006</t>
  </si>
  <si>
    <t>2025-12-22</t>
  </si>
  <si>
    <t>CCD Mall</t>
  </si>
  <si>
    <t>Cold Coffee</t>
  </si>
  <si>
    <t>Beverage</t>
  </si>
  <si>
    <t>CCD1007</t>
  </si>
  <si>
    <t>2025-02-26</t>
  </si>
  <si>
    <t>Mumbai</t>
  </si>
  <si>
    <t>CCD1008</t>
  </si>
  <si>
    <t>2025-08-17</t>
  </si>
  <si>
    <t>CCD1009</t>
  </si>
  <si>
    <t>2025-12-09</t>
  </si>
  <si>
    <t>Pune</t>
  </si>
  <si>
    <t>CCD1010</t>
  </si>
  <si>
    <t>2025-02-13</t>
  </si>
  <si>
    <t>Chennai</t>
  </si>
  <si>
    <t>CCD1011</t>
  </si>
  <si>
    <t>2025-04-07</t>
  </si>
  <si>
    <t>Mocha</t>
  </si>
  <si>
    <t>CCD1012</t>
  </si>
  <si>
    <t>2025-02-19</t>
  </si>
  <si>
    <t>CCD1013</t>
  </si>
  <si>
    <t>2025-10-02</t>
  </si>
  <si>
    <t>CCD1014</t>
  </si>
  <si>
    <t>2025-12-30</t>
  </si>
  <si>
    <t>CCD1015</t>
  </si>
  <si>
    <t>2025-02-18</t>
  </si>
  <si>
    <t>Tea</t>
  </si>
  <si>
    <t>CCD1016</t>
  </si>
  <si>
    <t>2025-03-15</t>
  </si>
  <si>
    <t>Espresso</t>
  </si>
  <si>
    <t>CCD1017</t>
  </si>
  <si>
    <t>2025-04-15</t>
  </si>
  <si>
    <t>CCD1018</t>
  </si>
  <si>
    <t>2025-03-05</t>
  </si>
  <si>
    <t>Sandwich</t>
  </si>
  <si>
    <t>CCD1019</t>
  </si>
  <si>
    <t>2025-09-18</t>
  </si>
  <si>
    <t>CCD1020</t>
  </si>
  <si>
    <t>2025-06-22</t>
  </si>
  <si>
    <t>Brownie</t>
  </si>
  <si>
    <t>CCD1021</t>
  </si>
  <si>
    <t>2025-09-28</t>
  </si>
  <si>
    <t>CCD1022</t>
  </si>
  <si>
    <t>2025-01-04</t>
  </si>
  <si>
    <t>CCD1023</t>
  </si>
  <si>
    <t>2025-06-17</t>
  </si>
  <si>
    <t>CCD1024</t>
  </si>
  <si>
    <t>2025-11-28</t>
  </si>
  <si>
    <t>CCD1025</t>
  </si>
  <si>
    <t>2025-10-16</t>
  </si>
  <si>
    <t>CCD1026</t>
  </si>
  <si>
    <t>2025-10-05</t>
  </si>
  <si>
    <t>CCD1027</t>
  </si>
  <si>
    <t>2025-10-31</t>
  </si>
  <si>
    <t>CCD1028</t>
  </si>
  <si>
    <t>2025-09-20</t>
  </si>
  <si>
    <t>CCD1029</t>
  </si>
  <si>
    <t>2025-01-10</t>
  </si>
  <si>
    <t>CCD1030</t>
  </si>
  <si>
    <t>2025-08-19</t>
  </si>
  <si>
    <t>CCD1031</t>
  </si>
  <si>
    <t>2025-05-12</t>
  </si>
  <si>
    <t>CCD1032</t>
  </si>
  <si>
    <t>2025-09-23</t>
  </si>
  <si>
    <t>CCD1033</t>
  </si>
  <si>
    <t>2025-01-28</t>
  </si>
  <si>
    <t>CCD1034</t>
  </si>
  <si>
    <t>2025-09-01</t>
  </si>
  <si>
    <t>CCD1035</t>
  </si>
  <si>
    <t>2025-04-13</t>
  </si>
  <si>
    <t>CCD1036</t>
  </si>
  <si>
    <t>2025-07-27</t>
  </si>
  <si>
    <t>CCD1037</t>
  </si>
  <si>
    <t>2025-03-30</t>
  </si>
  <si>
    <t>CCD1038</t>
  </si>
  <si>
    <t>2025-05-13</t>
  </si>
  <si>
    <t>CCD1039</t>
  </si>
  <si>
    <t>CCD1040</t>
  </si>
  <si>
    <t>2025-06-19</t>
  </si>
  <si>
    <t>CCD1041</t>
  </si>
  <si>
    <t>2025-07-25</t>
  </si>
  <si>
    <t>CCD1042</t>
  </si>
  <si>
    <t>2025-08-01</t>
  </si>
  <si>
    <t>CCD1043</t>
  </si>
  <si>
    <t>CCD1044</t>
  </si>
  <si>
    <t>2025-05-24</t>
  </si>
  <si>
    <t>CCD1045</t>
  </si>
  <si>
    <t>2025-05-18</t>
  </si>
  <si>
    <t>CCD1046</t>
  </si>
  <si>
    <t>2025-11-24</t>
  </si>
  <si>
    <t>CCD1047</t>
  </si>
  <si>
    <t>2025-06-29</t>
  </si>
  <si>
    <t>CCD1048</t>
  </si>
  <si>
    <t>2025-03-18</t>
  </si>
  <si>
    <t>CCD1049</t>
  </si>
  <si>
    <t>2025-10-18</t>
  </si>
  <si>
    <t>CCD1050</t>
  </si>
  <si>
    <t>CCD1051</t>
  </si>
  <si>
    <t>2025-07-29</t>
  </si>
  <si>
    <t>CCD1052</t>
  </si>
  <si>
    <t>CCD1053</t>
  </si>
  <si>
    <t>CCD1054</t>
  </si>
  <si>
    <t>CCD1055</t>
  </si>
  <si>
    <t>2025-08-25</t>
  </si>
  <si>
    <t>CCD1056</t>
  </si>
  <si>
    <t>2025-09-09</t>
  </si>
  <si>
    <t>CCD1057</t>
  </si>
  <si>
    <t>2025-02-05</t>
  </si>
  <si>
    <t>CCD1058</t>
  </si>
  <si>
    <t>2025-04-27</t>
  </si>
  <si>
    <t>CCD1059</t>
  </si>
  <si>
    <t>2025-06-04</t>
  </si>
  <si>
    <t>CCD1060</t>
  </si>
  <si>
    <t>2025-09-25</t>
  </si>
  <si>
    <t>CCD1061</t>
  </si>
  <si>
    <t>2025-08-07</t>
  </si>
  <si>
    <t>CCD1062</t>
  </si>
  <si>
    <t>2025-08-27</t>
  </si>
  <si>
    <t>CCD1063</t>
  </si>
  <si>
    <t>2025-02-02</t>
  </si>
  <si>
    <t>CCD1064</t>
  </si>
  <si>
    <t>2025-03-31</t>
  </si>
  <si>
    <t>CCD1065</t>
  </si>
  <si>
    <t>2025-12-19</t>
  </si>
  <si>
    <t>CCD1066</t>
  </si>
  <si>
    <t>2025-07-15</t>
  </si>
  <si>
    <t>CCD1067</t>
  </si>
  <si>
    <t>2025-09-04</t>
  </si>
  <si>
    <t>CCD1068</t>
  </si>
  <si>
    <t>CCD1069</t>
  </si>
  <si>
    <t>2025-11-10</t>
  </si>
  <si>
    <t>CCD1070</t>
  </si>
  <si>
    <t>2025-05-27</t>
  </si>
  <si>
    <t>CCD1071</t>
  </si>
  <si>
    <t>2025-10-20</t>
  </si>
  <si>
    <t>CCD1072</t>
  </si>
  <si>
    <t>2025-07-19</t>
  </si>
  <si>
    <t>CCD1073</t>
  </si>
  <si>
    <t>2025-03-02</t>
  </si>
  <si>
    <t>CCD1074</t>
  </si>
  <si>
    <t>CCD1075</t>
  </si>
  <si>
    <t>2025-04-16</t>
  </si>
  <si>
    <t>CCD1076</t>
  </si>
  <si>
    <t>2025-07-11</t>
  </si>
  <si>
    <t>CCD1077</t>
  </si>
  <si>
    <t>2025-04-17</t>
  </si>
  <si>
    <t>CCD1078</t>
  </si>
  <si>
    <t>2025-04-26</t>
  </si>
  <si>
    <t>CCD1079</t>
  </si>
  <si>
    <t>2025-10-23</t>
  </si>
  <si>
    <t>CCD1080</t>
  </si>
  <si>
    <t>2025-11-19</t>
  </si>
  <si>
    <t>CCD1081</t>
  </si>
  <si>
    <t>2025-04-25</t>
  </si>
  <si>
    <t>CCD1082</t>
  </si>
  <si>
    <t>2025-03-13</t>
  </si>
  <si>
    <t>CCD1083</t>
  </si>
  <si>
    <t>2025-11-26</t>
  </si>
  <si>
    <t>CCD1084</t>
  </si>
  <si>
    <t>CCD1085</t>
  </si>
  <si>
    <t>2025-11-06</t>
  </si>
  <si>
    <t>CCD1086</t>
  </si>
  <si>
    <t>2025-04-01</t>
  </si>
  <si>
    <t>CCD1087</t>
  </si>
  <si>
    <t>2025-05-21</t>
  </si>
  <si>
    <t>CCD1088</t>
  </si>
  <si>
    <t>CCD1089</t>
  </si>
  <si>
    <t>2025-06-30</t>
  </si>
  <si>
    <t>CCD1090</t>
  </si>
  <si>
    <t>CCD1091</t>
  </si>
  <si>
    <t>CCD1092</t>
  </si>
  <si>
    <t>2025-01-08</t>
  </si>
  <si>
    <t>CCD1093</t>
  </si>
  <si>
    <t>2025-01-03</t>
  </si>
  <si>
    <t>CCD1094</t>
  </si>
  <si>
    <t>CCD1095</t>
  </si>
  <si>
    <t>CCD1096</t>
  </si>
  <si>
    <t>2025-07-16</t>
  </si>
  <si>
    <t>CCD1097</t>
  </si>
  <si>
    <t>2025-12-21</t>
  </si>
  <si>
    <t>CCD1098</t>
  </si>
  <si>
    <t>2025-11-20</t>
  </si>
  <si>
    <t>CCD1099</t>
  </si>
  <si>
    <t>2025-08-24</t>
  </si>
  <si>
    <t>CCD1100</t>
  </si>
  <si>
    <t>2025-07-17</t>
  </si>
  <si>
    <t>CCD1101</t>
  </si>
  <si>
    <t>CCD1102</t>
  </si>
  <si>
    <t>CCD1103</t>
  </si>
  <si>
    <t>2025-07-08</t>
  </si>
  <si>
    <t>CCD1104</t>
  </si>
  <si>
    <t>2025-10-29</t>
  </si>
  <si>
    <t>CCD1105</t>
  </si>
  <si>
    <t>2025-05-20</t>
  </si>
  <si>
    <t>CCD1106</t>
  </si>
  <si>
    <t>2025-05-15</t>
  </si>
  <si>
    <t>CCD1107</t>
  </si>
  <si>
    <t>2025-08-14</t>
  </si>
  <si>
    <t>CCD1108</t>
  </si>
  <si>
    <t>2025-04-30</t>
  </si>
  <si>
    <t>CCD1109</t>
  </si>
  <si>
    <t>2025-11-17</t>
  </si>
  <si>
    <t>CCD1110</t>
  </si>
  <si>
    <t>CCD1111</t>
  </si>
  <si>
    <t>2025-06-23</t>
  </si>
  <si>
    <t>CCD1112</t>
  </si>
  <si>
    <t>2025-08-20</t>
  </si>
  <si>
    <t>CCD1113</t>
  </si>
  <si>
    <t>2025-01-11</t>
  </si>
  <si>
    <t>CCD1114</t>
  </si>
  <si>
    <t>CCD1115</t>
  </si>
  <si>
    <t>CCD1116</t>
  </si>
  <si>
    <t>2025-01-01</t>
  </si>
  <si>
    <t>CCD1117</t>
  </si>
  <si>
    <t>2025-09-07</t>
  </si>
  <si>
    <t>CCD1118</t>
  </si>
  <si>
    <t>2025-02-21</t>
  </si>
  <si>
    <t>CCD1119</t>
  </si>
  <si>
    <t>2025-03-06</t>
  </si>
  <si>
    <t>CCD1120</t>
  </si>
  <si>
    <t>2025-05-14</t>
  </si>
  <si>
    <t>CCD1121</t>
  </si>
  <si>
    <t>2025-01-12</t>
  </si>
  <si>
    <t>CCD1122</t>
  </si>
  <si>
    <t>CCD1123</t>
  </si>
  <si>
    <t>2025-01-25</t>
  </si>
  <si>
    <t>CCD1124</t>
  </si>
  <si>
    <t>2025-11-01</t>
  </si>
  <si>
    <t>CCD1125</t>
  </si>
  <si>
    <t>CCD1126</t>
  </si>
  <si>
    <t>2025-08-04</t>
  </si>
  <si>
    <t>CCD1127</t>
  </si>
  <si>
    <t>2025-11-07</t>
  </si>
  <si>
    <t>CCD1128</t>
  </si>
  <si>
    <t>2025-11-03</t>
  </si>
  <si>
    <t>CCD1129</t>
  </si>
  <si>
    <t>2025-05-01</t>
  </si>
  <si>
    <t>CCD1130</t>
  </si>
  <si>
    <t>CCD1131</t>
  </si>
  <si>
    <t>CCD1132</t>
  </si>
  <si>
    <t>2025-08-12</t>
  </si>
  <si>
    <t>CCD1133</t>
  </si>
  <si>
    <t>2025-07-28</t>
  </si>
  <si>
    <t>CCD1134</t>
  </si>
  <si>
    <t>2025-05-17</t>
  </si>
  <si>
    <t>CCD1135</t>
  </si>
  <si>
    <t>CCD1136</t>
  </si>
  <si>
    <t>2025-08-31</t>
  </si>
  <si>
    <t>CCD1137</t>
  </si>
  <si>
    <t>2025-10-09</t>
  </si>
  <si>
    <t>CCD1138</t>
  </si>
  <si>
    <t>2025-12-16</t>
  </si>
  <si>
    <t>CCD1139</t>
  </si>
  <si>
    <t>2025-01-02</t>
  </si>
  <si>
    <t>CCD1140</t>
  </si>
  <si>
    <t>2025-03-12</t>
  </si>
  <si>
    <t>CCD1141</t>
  </si>
  <si>
    <t>2025-07-09</t>
  </si>
  <si>
    <t>CCD1142</t>
  </si>
  <si>
    <t>2025-07-06</t>
  </si>
  <si>
    <t>CCD1143</t>
  </si>
  <si>
    <t>2025-11-30</t>
  </si>
  <si>
    <t>CCD1144</t>
  </si>
  <si>
    <t>2025-09-13</t>
  </si>
  <si>
    <t>CCD1145</t>
  </si>
  <si>
    <t>2025-10-06</t>
  </si>
  <si>
    <t>CCD1146</t>
  </si>
  <si>
    <t>CCD1147</t>
  </si>
  <si>
    <t>2025-05-25</t>
  </si>
  <si>
    <t>CCD1148</t>
  </si>
  <si>
    <t>2025-09-21</t>
  </si>
  <si>
    <t>CCD1149</t>
  </si>
  <si>
    <t>2025-11-18</t>
  </si>
  <si>
    <t>CCD1150</t>
  </si>
  <si>
    <t>CCD1151</t>
  </si>
  <si>
    <t>2025-10-07</t>
  </si>
  <si>
    <t>CCD1152</t>
  </si>
  <si>
    <t>2025-10-27</t>
  </si>
  <si>
    <t>CCD1153</t>
  </si>
  <si>
    <t>CCD1154</t>
  </si>
  <si>
    <t>2025-02-03</t>
  </si>
  <si>
    <t>CCD1155</t>
  </si>
  <si>
    <t>2025-07-07</t>
  </si>
  <si>
    <t>CCD1156</t>
  </si>
  <si>
    <t>2025-06-03</t>
  </si>
  <si>
    <t>CCD1157</t>
  </si>
  <si>
    <t>2025-06-18</t>
  </si>
  <si>
    <t>CCD1158</t>
  </si>
  <si>
    <t>2025-12-23</t>
  </si>
  <si>
    <t>CCD1159</t>
  </si>
  <si>
    <t>CCD1160</t>
  </si>
  <si>
    <t>2025-08-13</t>
  </si>
  <si>
    <t>CCD1161</t>
  </si>
  <si>
    <t>CCD1162</t>
  </si>
  <si>
    <t>CCD1163</t>
  </si>
  <si>
    <t>CCD1164</t>
  </si>
  <si>
    <t>2025-08-26</t>
  </si>
  <si>
    <t>CCD1165</t>
  </si>
  <si>
    <t>CCD1166</t>
  </si>
  <si>
    <t>CCD1167</t>
  </si>
  <si>
    <t>2025-01-13</t>
  </si>
  <si>
    <t>CCD1168</t>
  </si>
  <si>
    <t>2025-03-16</t>
  </si>
  <si>
    <t>CCD1169</t>
  </si>
  <si>
    <t>2025-04-11</t>
  </si>
  <si>
    <t>CCD1170</t>
  </si>
  <si>
    <t>2025-06-08</t>
  </si>
  <si>
    <t>CCD1171</t>
  </si>
  <si>
    <t>2025-02-08</t>
  </si>
  <si>
    <t>CCD1172</t>
  </si>
  <si>
    <t>CCD1173</t>
  </si>
  <si>
    <t>2025-06-01</t>
  </si>
  <si>
    <t>CCD1174</t>
  </si>
  <si>
    <t>2025-04-10</t>
  </si>
  <si>
    <t>CCD1175</t>
  </si>
  <si>
    <t>2025-02-23</t>
  </si>
  <si>
    <t>CCD1176</t>
  </si>
  <si>
    <t>2025-07-05</t>
  </si>
  <si>
    <t>CCD1177</t>
  </si>
  <si>
    <t>CCD1178</t>
  </si>
  <si>
    <t>2025-01-06</t>
  </si>
  <si>
    <t>CCD1179</t>
  </si>
  <si>
    <t>CCD1180</t>
  </si>
  <si>
    <t>2025-01-22</t>
  </si>
  <si>
    <t>CCD1181</t>
  </si>
  <si>
    <t>2025-02-07</t>
  </si>
  <si>
    <t>CCD1182</t>
  </si>
  <si>
    <t>CCD1183</t>
  </si>
  <si>
    <t>2025-04-22</t>
  </si>
  <si>
    <t>CCD1184</t>
  </si>
  <si>
    <t>2025-06-09</t>
  </si>
  <si>
    <t>CCD1185</t>
  </si>
  <si>
    <t>2025-02-28</t>
  </si>
  <si>
    <t>CCD1186</t>
  </si>
  <si>
    <t>CCD1187</t>
  </si>
  <si>
    <t>2025-10-24</t>
  </si>
  <si>
    <t>CCD1188</t>
  </si>
  <si>
    <t>CCD1189</t>
  </si>
  <si>
    <t>2025-03-22</t>
  </si>
  <si>
    <t>CCD1190</t>
  </si>
  <si>
    <t>CCD1191</t>
  </si>
  <si>
    <t>2025-03-09</t>
  </si>
  <si>
    <t>CCD1192</t>
  </si>
  <si>
    <t>CCD1193</t>
  </si>
  <si>
    <t>2025-02-15</t>
  </si>
  <si>
    <t>CCD1194</t>
  </si>
  <si>
    <t>2025-01-15</t>
  </si>
  <si>
    <t>CCD1195</t>
  </si>
  <si>
    <t>CCD1196</t>
  </si>
  <si>
    <t>CCD1197</t>
  </si>
  <si>
    <t>2025-09-11</t>
  </si>
  <si>
    <t>CCD1198</t>
  </si>
  <si>
    <t>CCD1199</t>
  </si>
  <si>
    <t>2025-12-20</t>
  </si>
  <si>
    <t>CCD1200</t>
  </si>
  <si>
    <t>CCD1201</t>
  </si>
  <si>
    <t>2025-11-23</t>
  </si>
  <si>
    <t>CCD1202</t>
  </si>
  <si>
    <t>2025-06-16</t>
  </si>
  <si>
    <t>CCD1203</t>
  </si>
  <si>
    <t>2025-01-09</t>
  </si>
  <si>
    <t>CCD1204</t>
  </si>
  <si>
    <t>2025-02-06</t>
  </si>
  <si>
    <t>CCD1205</t>
  </si>
  <si>
    <t>2025-01-17</t>
  </si>
  <si>
    <t>CCD1206</t>
  </si>
  <si>
    <t>CCD1207</t>
  </si>
  <si>
    <t>CCD1208</t>
  </si>
  <si>
    <t>CCD1209</t>
  </si>
  <si>
    <t>2025-10-01</t>
  </si>
  <si>
    <t>CCD1210</t>
  </si>
  <si>
    <t>CCD1211</t>
  </si>
  <si>
    <t>CCD1212</t>
  </si>
  <si>
    <t>CCD1213</t>
  </si>
  <si>
    <t>CCD1214</t>
  </si>
  <si>
    <t>2025-06-07</t>
  </si>
  <si>
    <t>CCD1215</t>
  </si>
  <si>
    <t>2025-02-14</t>
  </si>
  <si>
    <t>CCD1216</t>
  </si>
  <si>
    <t>2025-05-30</t>
  </si>
  <si>
    <t>CCD1217</t>
  </si>
  <si>
    <t>CCD1218</t>
  </si>
  <si>
    <t>2025-09-29</t>
  </si>
  <si>
    <t>CCD1219</t>
  </si>
  <si>
    <t>2025-11-05</t>
  </si>
  <si>
    <t>CCD1220</t>
  </si>
  <si>
    <t>CCD1221</t>
  </si>
  <si>
    <t>2025-05-28</t>
  </si>
  <si>
    <t>CCD1222</t>
  </si>
  <si>
    <t>CCD1223</t>
  </si>
  <si>
    <t>CCD1224</t>
  </si>
  <si>
    <t>CCD1225</t>
  </si>
  <si>
    <t>CCD1226</t>
  </si>
  <si>
    <t>2025-02-04</t>
  </si>
  <si>
    <t>CCD1227</t>
  </si>
  <si>
    <t>2025-03-23</t>
  </si>
  <si>
    <t>CCD1228</t>
  </si>
  <si>
    <t>2025-10-30</t>
  </si>
  <si>
    <t>CCD1229</t>
  </si>
  <si>
    <t>CCD1230</t>
  </si>
  <si>
    <t>CCD1231</t>
  </si>
  <si>
    <t>CCD1232</t>
  </si>
  <si>
    <t>2025-08-11</t>
  </si>
  <si>
    <t>CCD1233</t>
  </si>
  <si>
    <t>2025-07-04</t>
  </si>
  <si>
    <t>CCD1234</t>
  </si>
  <si>
    <t>CCD1235</t>
  </si>
  <si>
    <t>CCD1236</t>
  </si>
  <si>
    <t>2025-10-26</t>
  </si>
  <si>
    <t>CCD1237</t>
  </si>
  <si>
    <t>2025-12-26</t>
  </si>
  <si>
    <t>CCD1238</t>
  </si>
  <si>
    <t>2025-10-13</t>
  </si>
  <si>
    <t>CCD1239</t>
  </si>
  <si>
    <t>2025-09-26</t>
  </si>
  <si>
    <t>CCD1240</t>
  </si>
  <si>
    <t>CCD1241</t>
  </si>
  <si>
    <t>2025-01-19</t>
  </si>
  <si>
    <t>CCD1242</t>
  </si>
  <si>
    <t>CCD1243</t>
  </si>
  <si>
    <t>CCD1244</t>
  </si>
  <si>
    <t>2025-06-06</t>
  </si>
  <si>
    <t>CCD1245</t>
  </si>
  <si>
    <t>2025-12-05</t>
  </si>
  <si>
    <t>CCD1246</t>
  </si>
  <si>
    <t>2025-07-22</t>
  </si>
  <si>
    <t>CCD1247</t>
  </si>
  <si>
    <t>CCD1248</t>
  </si>
  <si>
    <t>2025-12-31</t>
  </si>
  <si>
    <t>CCD1249</t>
  </si>
  <si>
    <t>2025-09-03</t>
  </si>
  <si>
    <t>CCD1250</t>
  </si>
  <si>
    <t>2025-12-15</t>
  </si>
  <si>
    <t>CCD1251</t>
  </si>
  <si>
    <t>2025-03-24</t>
  </si>
  <si>
    <t>CCD1252</t>
  </si>
  <si>
    <t>CCD1253</t>
  </si>
  <si>
    <t>CCD1254</t>
  </si>
  <si>
    <t>2025-03-10</t>
  </si>
  <si>
    <t>CCD1255</t>
  </si>
  <si>
    <t>CCD1256</t>
  </si>
  <si>
    <t>CCD1257</t>
  </si>
  <si>
    <t>2025-10-17</t>
  </si>
  <si>
    <t>CCD1258</t>
  </si>
  <si>
    <t>CCD1259</t>
  </si>
  <si>
    <t>CCD1260</t>
  </si>
  <si>
    <t>CCD1261</t>
  </si>
  <si>
    <t>2025-03-01</t>
  </si>
  <si>
    <t>CCD1262</t>
  </si>
  <si>
    <t>CCD1263</t>
  </si>
  <si>
    <t>CCD1264</t>
  </si>
  <si>
    <t>2025-05-04</t>
  </si>
  <si>
    <t>CCD1265</t>
  </si>
  <si>
    <t>CCD1266</t>
  </si>
  <si>
    <t>CCD1267</t>
  </si>
  <si>
    <t>2025-02-09</t>
  </si>
  <si>
    <t>CCD1268</t>
  </si>
  <si>
    <t>2025-03-03</t>
  </si>
  <si>
    <t>CCD1269</t>
  </si>
  <si>
    <t>CCD1270</t>
  </si>
  <si>
    <t>CCD1271</t>
  </si>
  <si>
    <t>2025-12-12</t>
  </si>
  <si>
    <t>CCD1272</t>
  </si>
  <si>
    <t>CCD1273</t>
  </si>
  <si>
    <t>2025-04-24</t>
  </si>
  <si>
    <t>CCD1274</t>
  </si>
  <si>
    <t>CCD1275</t>
  </si>
  <si>
    <t>CCD1276</t>
  </si>
  <si>
    <t>2025-12-27</t>
  </si>
  <si>
    <t>CCD1277</t>
  </si>
  <si>
    <t>CCD1278</t>
  </si>
  <si>
    <t>CCD1279</t>
  </si>
  <si>
    <t>CCD1280</t>
  </si>
  <si>
    <t>2025-12-06</t>
  </si>
  <si>
    <t>CCD1281</t>
  </si>
  <si>
    <t>2025-04-12</t>
  </si>
  <si>
    <t>CCD1282</t>
  </si>
  <si>
    <t>CCD1283</t>
  </si>
  <si>
    <t>CCD1284</t>
  </si>
  <si>
    <t>2025-07-14</t>
  </si>
  <si>
    <t>CCD1285</t>
  </si>
  <si>
    <t>CCD1286</t>
  </si>
  <si>
    <t>2025-04-14</t>
  </si>
  <si>
    <t>CCD1287</t>
  </si>
  <si>
    <t>CCD1288</t>
  </si>
  <si>
    <t>CCD1289</t>
  </si>
  <si>
    <t>2025-05-22</t>
  </si>
  <si>
    <t>CCD1290</t>
  </si>
  <si>
    <t>CCD1291</t>
  </si>
  <si>
    <t>CCD1292</t>
  </si>
  <si>
    <t>CCD1293</t>
  </si>
  <si>
    <t>2025-06-05</t>
  </si>
  <si>
    <t>CCD1294</t>
  </si>
  <si>
    <t>CCD1295</t>
  </si>
  <si>
    <t>2025-04-23</t>
  </si>
  <si>
    <t>CCD1296</t>
  </si>
  <si>
    <t>CCD1297</t>
  </si>
  <si>
    <t>2025-10-10</t>
  </si>
  <si>
    <t>CCD1298</t>
  </si>
  <si>
    <t>2025-12-07</t>
  </si>
  <si>
    <t>CCD1299</t>
  </si>
  <si>
    <t>CCD1300</t>
  </si>
  <si>
    <t>2025-06-12</t>
  </si>
  <si>
    <t>CCD1301</t>
  </si>
  <si>
    <t>CCD1302</t>
  </si>
  <si>
    <t>2025-09-10</t>
  </si>
  <si>
    <t>CCD1303</t>
  </si>
  <si>
    <t>CCD1304</t>
  </si>
  <si>
    <t>CCD1305</t>
  </si>
  <si>
    <t>2025-07-23</t>
  </si>
  <si>
    <t>CCD1306</t>
  </si>
  <si>
    <t>CCD1307</t>
  </si>
  <si>
    <t>CCD1308</t>
  </si>
  <si>
    <t>2025-02-27</t>
  </si>
  <si>
    <t>CCD1309</t>
  </si>
  <si>
    <t>2025-12-10</t>
  </si>
  <si>
    <t>CCD1310</t>
  </si>
  <si>
    <t>CCD1311</t>
  </si>
  <si>
    <t>CCD1312</t>
  </si>
  <si>
    <t>CCD1313</t>
  </si>
  <si>
    <t>CCD1314</t>
  </si>
  <si>
    <t>CCD1315</t>
  </si>
  <si>
    <t>CCD1316</t>
  </si>
  <si>
    <t>2025-01-20</t>
  </si>
  <si>
    <t>CCD1317</t>
  </si>
  <si>
    <t>CCD1318</t>
  </si>
  <si>
    <t>2025-09-27</t>
  </si>
  <si>
    <t>CCD1319</t>
  </si>
  <si>
    <t>2025-09-17</t>
  </si>
  <si>
    <t>CCD1320</t>
  </si>
  <si>
    <t>2025-04-28</t>
  </si>
  <si>
    <t>CCD1321</t>
  </si>
  <si>
    <t>2025-11-14</t>
  </si>
  <si>
    <t>CCD1322</t>
  </si>
  <si>
    <t>CCD1323</t>
  </si>
  <si>
    <t>CCD1324</t>
  </si>
  <si>
    <t>CCD1325</t>
  </si>
  <si>
    <t>2025-11-02</t>
  </si>
  <si>
    <t>CCD1326</t>
  </si>
  <si>
    <t>2025-02-17</t>
  </si>
  <si>
    <t>CCD1327</t>
  </si>
  <si>
    <t>2025-07-12</t>
  </si>
  <si>
    <t>CCD1328</t>
  </si>
  <si>
    <t>CCD1329</t>
  </si>
  <si>
    <t>2025-02-20</t>
  </si>
  <si>
    <t>CCD1330</t>
  </si>
  <si>
    <t>CCD1331</t>
  </si>
  <si>
    <t>CCD1332</t>
  </si>
  <si>
    <t>2025-03-17</t>
  </si>
  <si>
    <t>CCD1333</t>
  </si>
  <si>
    <t>CCD1334</t>
  </si>
  <si>
    <t>CCD1335</t>
  </si>
  <si>
    <t>2025-01-05</t>
  </si>
  <si>
    <t>CCD1336</t>
  </si>
  <si>
    <t>2025-01-18</t>
  </si>
  <si>
    <t>CCD1337</t>
  </si>
  <si>
    <t>2025-10-21</t>
  </si>
  <si>
    <t>CCD1338</t>
  </si>
  <si>
    <t>CCD1339</t>
  </si>
  <si>
    <t>CCD1340</t>
  </si>
  <si>
    <t>CCD1341</t>
  </si>
  <si>
    <t>CCD1342</t>
  </si>
  <si>
    <t>CCD1343</t>
  </si>
  <si>
    <t>CCD1344</t>
  </si>
  <si>
    <t>2025-01-23</t>
  </si>
  <si>
    <t>CCD1345</t>
  </si>
  <si>
    <t>CCD1346</t>
  </si>
  <si>
    <t>2025-11-08</t>
  </si>
  <si>
    <t>CCD1347</t>
  </si>
  <si>
    <t>CCD1348</t>
  </si>
  <si>
    <t>CCD1349</t>
  </si>
  <si>
    <t>CCD1350</t>
  </si>
  <si>
    <t>CCD1351</t>
  </si>
  <si>
    <t>CCD1352</t>
  </si>
  <si>
    <t>2025-12-08</t>
  </si>
  <si>
    <t>CCD1353</t>
  </si>
  <si>
    <t>CCD1354</t>
  </si>
  <si>
    <t>2025-08-03</t>
  </si>
  <si>
    <t>CCD1355</t>
  </si>
  <si>
    <t>CCD1356</t>
  </si>
  <si>
    <t>2025-06-02</t>
  </si>
  <si>
    <t>CCD1357</t>
  </si>
  <si>
    <t>2025-01-07</t>
  </si>
  <si>
    <t>CCD1358</t>
  </si>
  <si>
    <t>CCD1359</t>
  </si>
  <si>
    <t>CCD1360</t>
  </si>
  <si>
    <t>2025-04-09</t>
  </si>
  <si>
    <t>CCD1361</t>
  </si>
  <si>
    <t>CCD1362</t>
  </si>
  <si>
    <t>2025-02-25</t>
  </si>
  <si>
    <t>CCD1363</t>
  </si>
  <si>
    <t>CCD1364</t>
  </si>
  <si>
    <t>2025-01-30</t>
  </si>
  <si>
    <t>CCD1365</t>
  </si>
  <si>
    <t>2025-03-19</t>
  </si>
  <si>
    <t>CCD1366</t>
  </si>
  <si>
    <t>CCD1367</t>
  </si>
  <si>
    <t>CCD1368</t>
  </si>
  <si>
    <t>CCD1369</t>
  </si>
  <si>
    <t>CCD1370</t>
  </si>
  <si>
    <t>CCD1371</t>
  </si>
  <si>
    <t>CCD1372</t>
  </si>
  <si>
    <t>2025-06-10</t>
  </si>
  <si>
    <t>CCD1373</t>
  </si>
  <si>
    <t>2025-09-30</t>
  </si>
  <si>
    <t>CCD1374</t>
  </si>
  <si>
    <t>CCD1375</t>
  </si>
  <si>
    <t>CCD1376</t>
  </si>
  <si>
    <t>2025-10-03</t>
  </si>
  <si>
    <t>CCD1377</t>
  </si>
  <si>
    <t>2025-03-08</t>
  </si>
  <si>
    <t>CCD1378</t>
  </si>
  <si>
    <t>2025-09-22</t>
  </si>
  <si>
    <t>CCD1379</t>
  </si>
  <si>
    <t>CCD1380</t>
  </si>
  <si>
    <t>2025-10-08</t>
  </si>
  <si>
    <t>CCD1381</t>
  </si>
  <si>
    <t>CCD1382</t>
  </si>
  <si>
    <t>CCD1383</t>
  </si>
  <si>
    <t>CCD1384</t>
  </si>
  <si>
    <t>CCD1385</t>
  </si>
  <si>
    <t>CCD1386</t>
  </si>
  <si>
    <t>CCD1387</t>
  </si>
  <si>
    <t>CCD1388</t>
  </si>
  <si>
    <t>CCD1389</t>
  </si>
  <si>
    <t>2025-09-15</t>
  </si>
  <si>
    <t>CCD1390</t>
  </si>
  <si>
    <t>CCD1391</t>
  </si>
  <si>
    <t>2025-12-03</t>
  </si>
  <si>
    <t>CCD1392</t>
  </si>
  <si>
    <t>CCD1393</t>
  </si>
  <si>
    <t>CCD1394</t>
  </si>
  <si>
    <t>2025-04-21</t>
  </si>
  <si>
    <t>CCD1395</t>
  </si>
  <si>
    <t>CCD1396</t>
  </si>
  <si>
    <t>CCD1397</t>
  </si>
  <si>
    <t>2025-02-22</t>
  </si>
  <si>
    <t>CCD1398</t>
  </si>
  <si>
    <t>2025-11-09</t>
  </si>
  <si>
    <t>CCD1399</t>
  </si>
  <si>
    <t>CCD1400</t>
  </si>
  <si>
    <t>CCD1401</t>
  </si>
  <si>
    <t>CCD1402</t>
  </si>
  <si>
    <t>2025-10-25</t>
  </si>
  <si>
    <t>CCD1403</t>
  </si>
  <si>
    <t>CCD1404</t>
  </si>
  <si>
    <t>CCD1405</t>
  </si>
  <si>
    <t>CCD1406</t>
  </si>
  <si>
    <t>CCD1407</t>
  </si>
  <si>
    <t>CCD1408</t>
  </si>
  <si>
    <t>CCD1409</t>
  </si>
  <si>
    <t>CCD1410</t>
  </si>
  <si>
    <t>2025-12-11</t>
  </si>
  <si>
    <t>CCD1411</t>
  </si>
  <si>
    <t>CCD1412</t>
  </si>
  <si>
    <t>2025-05-07</t>
  </si>
  <si>
    <t>CCD1413</t>
  </si>
  <si>
    <t>CCD1414</t>
  </si>
  <si>
    <t>CCD1415</t>
  </si>
  <si>
    <t>CCD1416</t>
  </si>
  <si>
    <t>CCD1417</t>
  </si>
  <si>
    <t>2025-05-06</t>
  </si>
  <si>
    <t>CCD1418</t>
  </si>
  <si>
    <t>2025-04-18</t>
  </si>
  <si>
    <t>CCD1419</t>
  </si>
  <si>
    <t>2025-02-11</t>
  </si>
  <si>
    <t>CCD1420</t>
  </si>
  <si>
    <t>CCD1421</t>
  </si>
  <si>
    <t>CCD1422</t>
  </si>
  <si>
    <t>CCD1423</t>
  </si>
  <si>
    <t>2025-04-20</t>
  </si>
  <si>
    <t>CCD1424</t>
  </si>
  <si>
    <t>CCD1425</t>
  </si>
  <si>
    <t>2025-08-02</t>
  </si>
  <si>
    <t>CCD1426</t>
  </si>
  <si>
    <t>CCD1427</t>
  </si>
  <si>
    <t>CCD1428</t>
  </si>
  <si>
    <t>2025-12-17</t>
  </si>
  <si>
    <t>CCD1429</t>
  </si>
  <si>
    <t>CCD1430</t>
  </si>
  <si>
    <t>CCD1431</t>
  </si>
  <si>
    <t>CCD1432</t>
  </si>
  <si>
    <t>CCD1433</t>
  </si>
  <si>
    <t>CCD1434</t>
  </si>
  <si>
    <t>CCD1435</t>
  </si>
  <si>
    <t>CCD1436</t>
  </si>
  <si>
    <t>CCD1437</t>
  </si>
  <si>
    <t>CCD1438</t>
  </si>
  <si>
    <t>2025-10-22</t>
  </si>
  <si>
    <t>CCD1439</t>
  </si>
  <si>
    <t>2025-07-21</t>
  </si>
  <si>
    <t>CCD1440</t>
  </si>
  <si>
    <t>CCD1441</t>
  </si>
  <si>
    <t>2025-03-28</t>
  </si>
  <si>
    <t>CCD1442</t>
  </si>
  <si>
    <t>CCD1443</t>
  </si>
  <si>
    <t>CCD1444</t>
  </si>
  <si>
    <t>CCD1445</t>
  </si>
  <si>
    <t>2025-07-13</t>
  </si>
  <si>
    <t>CCD1446</t>
  </si>
  <si>
    <t>2025-09-12</t>
  </si>
  <si>
    <t>CCD1447</t>
  </si>
  <si>
    <t>CCD1448</t>
  </si>
  <si>
    <t>2025-09-06</t>
  </si>
  <si>
    <t>CCD1449</t>
  </si>
  <si>
    <t>CCD1450</t>
  </si>
  <si>
    <t>2025-06-14</t>
  </si>
  <si>
    <t>CCD1451</t>
  </si>
  <si>
    <t>CCD1452</t>
  </si>
  <si>
    <t>CCD1453</t>
  </si>
  <si>
    <t>CCD1454</t>
  </si>
  <si>
    <t>CCD1455</t>
  </si>
  <si>
    <t>CCD1456</t>
  </si>
  <si>
    <t>CCD1457</t>
  </si>
  <si>
    <t>CCD1458</t>
  </si>
  <si>
    <t>CCD1459</t>
  </si>
  <si>
    <t>2025-08-06</t>
  </si>
  <si>
    <t>CCD1460</t>
  </si>
  <si>
    <t>CCD1461</t>
  </si>
  <si>
    <t>2025-12-04</t>
  </si>
  <si>
    <t>CCD1462</t>
  </si>
  <si>
    <t>2025-10-14</t>
  </si>
  <si>
    <t>CCD1463</t>
  </si>
  <si>
    <t>CCD1464</t>
  </si>
  <si>
    <t>2025-09-08</t>
  </si>
  <si>
    <t>CCD1465</t>
  </si>
  <si>
    <t>2025-05-31</t>
  </si>
  <si>
    <t>CCD1466</t>
  </si>
  <si>
    <t>CCD1467</t>
  </si>
  <si>
    <t>CCD1468</t>
  </si>
  <si>
    <t>CCD1469</t>
  </si>
  <si>
    <t>CCD1470</t>
  </si>
  <si>
    <t>2025-04-04</t>
  </si>
  <si>
    <t>CCD1471</t>
  </si>
  <si>
    <t>CCD1472</t>
  </si>
  <si>
    <t>CCD1473</t>
  </si>
  <si>
    <t>CCD1474</t>
  </si>
  <si>
    <t>CCD1475</t>
  </si>
  <si>
    <t>CCD1476</t>
  </si>
  <si>
    <t>CCD1477</t>
  </si>
  <si>
    <t>CCD1478</t>
  </si>
  <si>
    <t>2025-01-26</t>
  </si>
  <si>
    <t>CCD1479</t>
  </si>
  <si>
    <t>CCD1480</t>
  </si>
  <si>
    <t>CCD1481</t>
  </si>
  <si>
    <t>CCD1482</t>
  </si>
  <si>
    <t>2025-08-21</t>
  </si>
  <si>
    <t>CCD1483</t>
  </si>
  <si>
    <t>2025-03-27</t>
  </si>
  <si>
    <t>CCD1484</t>
  </si>
  <si>
    <t>CCD1485</t>
  </si>
  <si>
    <t>CCD1486</t>
  </si>
  <si>
    <t>2025-09-24</t>
  </si>
  <si>
    <t>CCD1487</t>
  </si>
  <si>
    <t>CCD1488</t>
  </si>
  <si>
    <t>2025-03-04</t>
  </si>
  <si>
    <t>CCD1489</t>
  </si>
  <si>
    <t>CCD1490</t>
  </si>
  <si>
    <t>2025-06-27</t>
  </si>
  <si>
    <t>CCD1491</t>
  </si>
  <si>
    <t>CCD1492</t>
  </si>
  <si>
    <t>CCD1493</t>
  </si>
  <si>
    <t>CCD1494</t>
  </si>
  <si>
    <t>CCD1495</t>
  </si>
  <si>
    <t>CCD1496</t>
  </si>
  <si>
    <t>CCD1497</t>
  </si>
  <si>
    <t>CCD1498</t>
  </si>
  <si>
    <t>CCD1499</t>
  </si>
  <si>
    <t>KPI Cards:</t>
  </si>
  <si>
    <t>Total Sales</t>
  </si>
  <si>
    <t>Total Orders</t>
  </si>
  <si>
    <t>Average Order Value</t>
  </si>
  <si>
    <t>Best-Selling Product</t>
  </si>
  <si>
    <t>Sales Trend by Month</t>
  </si>
  <si>
    <t>Sales by City</t>
  </si>
  <si>
    <t>Sales by Category</t>
  </si>
  <si>
    <t>Sales by Product</t>
  </si>
  <si>
    <t>Payment Mode Analysis</t>
  </si>
  <si>
    <t>Top 10 Products</t>
  </si>
  <si>
    <t>Graphs</t>
  </si>
  <si>
    <t>Sum of Sales</t>
  </si>
  <si>
    <t>Count of Order_ID</t>
  </si>
  <si>
    <t>Row Labels</t>
  </si>
  <si>
    <t>Grand Total</t>
  </si>
  <si>
    <t>Month</t>
  </si>
  <si>
    <t>January</t>
  </si>
  <si>
    <t>February</t>
  </si>
  <si>
    <t>March</t>
  </si>
  <si>
    <t>April</t>
  </si>
  <si>
    <t>May</t>
  </si>
  <si>
    <t>June</t>
  </si>
  <si>
    <t>July</t>
  </si>
  <si>
    <t>August</t>
  </si>
  <si>
    <t>September</t>
  </si>
  <si>
    <t>October</t>
  </si>
  <si>
    <t>November</t>
  </si>
  <si>
    <t>December</t>
  </si>
  <si>
    <t>State</t>
  </si>
  <si>
    <t>Country</t>
  </si>
  <si>
    <t>India</t>
  </si>
  <si>
    <t>Bangalore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</si>
</sst>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4009]\ * #,##0.00_ ;_ [$₹-4009]\ * \-#,##0.00_ ;_ [$₹-4009]\ * &quot;-&quot;??_ ;_ @_ "/>
    <numFmt numFmtId="165" formatCode="[$-F800]dddd\,\ mmmm\ dd\,\ yyyy"/>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0" fontId="0" fillId="0" borderId="0" xfId="0"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0" fillId="0" borderId="0" xfId="0" applyAlignment="1">
      <alignment horizontal="left" vertical="center" indent="1"/>
    </xf>
    <xf numFmtId="0" fontId="1" fillId="3" borderId="0" xfId="0" applyFont="1" applyFill="1" applyAlignment="1">
      <alignment horizontal="center" vertical="center"/>
    </xf>
    <xf numFmtId="164" fontId="0" fillId="0" borderId="0" xfId="0" applyNumberFormat="1"/>
    <xf numFmtId="0" fontId="0" fillId="0" borderId="0" xfId="0" pivotButton="1"/>
    <xf numFmtId="0" fontId="0" fillId="0" borderId="0" xfId="0" applyAlignment="1">
      <alignment horizontal="left"/>
    </xf>
    <xf numFmtId="44" fontId="0" fillId="0" borderId="0" xfId="1" applyFont="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center" vertical="center"/>
    </xf>
    <xf numFmtId="164" fontId="0" fillId="0" borderId="1" xfId="0" applyNumberFormat="1" applyBorder="1" applyAlignment="1">
      <alignment horizontal="center" vertical="center"/>
    </xf>
    <xf numFmtId="165" fontId="0" fillId="0" borderId="1" xfId="0" applyNumberFormat="1" applyBorder="1" applyAlignment="1">
      <alignment horizontal="center" vertical="center"/>
    </xf>
    <xf numFmtId="0" fontId="0" fillId="0" borderId="1" xfId="0" applyBorder="1" applyAlignment="1">
      <alignment horizontal="center"/>
    </xf>
  </cellXfs>
  <cellStyles count="2">
    <cellStyle name="Currency" xfId="1" builtinId="4"/>
    <cellStyle name="Normal" xfId="0" builtinId="0"/>
  </cellStyles>
  <dxfs count="5">
    <dxf>
      <numFmt numFmtId="164" formatCode="_ [$₹-4009]\ * #,##0.00_ ;_ [$₹-4009]\ * \-#,##0.00_ ;_ [$₹-4009]\ * &quot;-&quot;??_ ;_ @_ "/>
    </dxf>
    <dxf>
      <numFmt numFmtId="0" formatCode="General"/>
    </dxf>
    <dxf>
      <numFmt numFmtId="0" formatCode="General"/>
    </dxf>
    <dxf>
      <numFmt numFmtId="164" formatCode="_ [$₹-4009]\ * #,##0.00_ ;_ [$₹-4009]\ * \-#,##0.00_ ;_ [$₹-4009]\ * &quot;-&quot;??_ ;_ @_ "/>
    </dxf>
    <dxf>
      <numFmt numFmtId="164" formatCode="_ [$₹-4009]\ * #,##0.00_ ;_ [$₹-4009]\ * \-#,##0.00_ ;_ [$₹-4009]\ * &quot;-&quot;??_ ;_ @_ "/>
    </dxf>
  </dxfs>
  <tableStyles count="0" defaultTableStyle="TableStyleMedium9" defaultPivotStyle="PivotStyleLight16"/>
  <colors>
    <mruColors>
      <color rgb="FFF69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[Cafe_Coffee_Day_Sales_Dataset.xlsx]Sheet1!PivotTable9</c:name>
    <c:fmtId val="8"/>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by Category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Sheet1!$B$3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DF-4B46-B1BD-CF29810AB66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DF-4B46-B1BD-CF29810AB66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BDF-4B46-B1BD-CF29810AB66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BDF-4B46-B1BD-CF29810AB66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Beverage</c:v>
                </c:pt>
                <c:pt idx="1">
                  <c:v>Coffee</c:v>
                </c:pt>
                <c:pt idx="2">
                  <c:v>Dessert</c:v>
                </c:pt>
                <c:pt idx="3">
                  <c:v>Food</c:v>
                </c:pt>
              </c:strCache>
            </c:strRef>
          </c:cat>
          <c:val>
            <c:numRef>
              <c:f>Sheet1!$B$4:$B$8</c:f>
              <c:numCache>
                <c:formatCode>General</c:formatCode>
                <c:ptCount val="4"/>
                <c:pt idx="0">
                  <c:v>52615</c:v>
                </c:pt>
                <c:pt idx="1">
                  <c:v>109436</c:v>
                </c:pt>
                <c:pt idx="2">
                  <c:v>42532</c:v>
                </c:pt>
                <c:pt idx="3">
                  <c:v>61973</c:v>
                </c:pt>
              </c:numCache>
            </c:numRef>
          </c:val>
          <c:extLst>
            <c:ext xmlns:c16="http://schemas.microsoft.com/office/drawing/2014/chart" uri="{C3380CC4-5D6E-409C-BE32-E72D297353CC}">
              <c16:uniqueId val="{00000008-5BDF-4B46-B1BD-CF29810AB66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[Cafe_Coffee_Day_Sales_Dataset.xlsx]Sheet1!PivotTable10</c:name>
    <c:fmtId val="34"/>
  </c:pivotSource>
  <c:chart>
    <c:title>
      <c:tx>
        <c:rich>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by Product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Sheet1!$A$13:$A$23</c:f>
              <c:strCache>
                <c:ptCount val="10"/>
                <c:pt idx="0">
                  <c:v>Brownie</c:v>
                </c:pt>
                <c:pt idx="1">
                  <c:v>Cappuccino</c:v>
                </c:pt>
                <c:pt idx="2">
                  <c:v>Cold Coffee</c:v>
                </c:pt>
                <c:pt idx="3">
                  <c:v>Espresso</c:v>
                </c:pt>
                <c:pt idx="4">
                  <c:v>Fries</c:v>
                </c:pt>
                <c:pt idx="5">
                  <c:v>Latte</c:v>
                </c:pt>
                <c:pt idx="6">
                  <c:v>Mocha</c:v>
                </c:pt>
                <c:pt idx="7">
                  <c:v>Muffin</c:v>
                </c:pt>
                <c:pt idx="8">
                  <c:v>Sandwich</c:v>
                </c:pt>
                <c:pt idx="9">
                  <c:v>Tea</c:v>
                </c:pt>
              </c:strCache>
            </c:strRef>
          </c:cat>
          <c:val>
            <c:numRef>
              <c:f>Sheet1!$B$13:$B$23</c:f>
              <c:numCache>
                <c:formatCode>_ [$₹-4009]\ * #,##0.00_ ;_ [$₹-4009]\ * \-#,##0.00_ ;_ [$₹-4009]\ * "-"??_ ;_ @_ </c:formatCode>
                <c:ptCount val="10"/>
                <c:pt idx="0">
                  <c:v>23480</c:v>
                </c:pt>
                <c:pt idx="1">
                  <c:v>27275</c:v>
                </c:pt>
                <c:pt idx="2">
                  <c:v>36103</c:v>
                </c:pt>
                <c:pt idx="3">
                  <c:v>19566</c:v>
                </c:pt>
                <c:pt idx="4">
                  <c:v>27774</c:v>
                </c:pt>
                <c:pt idx="5">
                  <c:v>32806</c:v>
                </c:pt>
                <c:pt idx="6">
                  <c:v>29789</c:v>
                </c:pt>
                <c:pt idx="7">
                  <c:v>19052</c:v>
                </c:pt>
                <c:pt idx="8">
                  <c:v>34199</c:v>
                </c:pt>
                <c:pt idx="9">
                  <c:v>16512</c:v>
                </c:pt>
              </c:numCache>
            </c:numRef>
          </c:val>
          <c:smooth val="0"/>
          <c:extLst>
            <c:ext xmlns:c16="http://schemas.microsoft.com/office/drawing/2014/chart" uri="{C3380CC4-5D6E-409C-BE32-E72D297353CC}">
              <c16:uniqueId val="{00000000-9CEA-4562-8502-EA21DF66DE9F}"/>
            </c:ext>
          </c:extLst>
        </c:ser>
        <c:dLbls>
          <c:showLegendKey val="0"/>
          <c:showVal val="0"/>
          <c:showCatName val="0"/>
          <c:showSerName val="0"/>
          <c:showPercent val="0"/>
          <c:showBubbleSize val="0"/>
        </c:dLbls>
        <c:marker val="1"/>
        <c:smooth val="0"/>
        <c:axId val="1209313312"/>
        <c:axId val="1303284208"/>
      </c:lineChart>
      <c:catAx>
        <c:axId val="12093133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3284208"/>
        <c:crosses val="autoZero"/>
        <c:auto val="1"/>
        <c:lblAlgn val="ctr"/>
        <c:lblOffset val="100"/>
        <c:noMultiLvlLbl val="0"/>
      </c:catAx>
      <c:valAx>
        <c:axId val="1303284208"/>
        <c:scaling>
          <c:orientation val="minMax"/>
        </c:scaling>
        <c:delete val="0"/>
        <c:axPos val="l"/>
        <c:majorGridlines>
          <c:spPr>
            <a:ln w="9525" cap="flat" cmpd="sng" algn="ctr">
              <a:solidFill>
                <a:schemeClr val="dk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09313312"/>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[Cafe_Coffee_Day_Sales_Dataset.xlsx]Sheet1!PivotTable11</c:name>
    <c:fmtId val="39"/>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Payment Mode Analysis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57777777777778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855555555555560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8555555555555606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Vert">
            <a:fgClr>
              <a:schemeClr val="accent1"/>
            </a:fgClr>
            <a:bgClr>
              <a:schemeClr val="accent1">
                <a:lumMod val="20000"/>
                <a:lumOff val="80000"/>
              </a:schemeClr>
            </a:bgClr>
          </a:pattFill>
          <a:ln>
            <a:noFill/>
          </a:ln>
          <a:effectLst>
            <a:innerShdw blurRad="114300">
              <a:schemeClr val="accent1"/>
            </a:innerShdw>
          </a:effectLst>
        </c:spPr>
        <c:dLbl>
          <c:idx val="0"/>
          <c:layout>
            <c:manualLayout>
              <c:x val="-6.5777777777777824E-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9"/>
        <c:spPr>
          <a:pattFill prst="narVert">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bar"/>
        <c:grouping val="clustered"/>
        <c:varyColors val="0"/>
        <c:ser>
          <c:idx val="0"/>
          <c:order val="0"/>
          <c:tx>
            <c:strRef>
              <c:f>Sheet1!$B$26</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spPr>
              <a:pattFill prst="narVert">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0-9874-4565-8B90-E1A8D0FEADD8}"/>
              </c:ext>
            </c:extLst>
          </c:dPt>
          <c:dPt>
            <c:idx val="2"/>
            <c:invertIfNegative val="0"/>
            <c:bubble3D val="0"/>
            <c:spPr>
              <a:pattFill prst="narVert">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9874-4565-8B90-E1A8D0FEAD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Sheet1!$A$27:$A$31</c:f>
              <c:strCache>
                <c:ptCount val="4"/>
                <c:pt idx="0">
                  <c:v>Card</c:v>
                </c:pt>
                <c:pt idx="1">
                  <c:v>Cash</c:v>
                </c:pt>
                <c:pt idx="2">
                  <c:v>UPI</c:v>
                </c:pt>
                <c:pt idx="3">
                  <c:v>Wallet</c:v>
                </c:pt>
              </c:strCache>
            </c:strRef>
          </c:cat>
          <c:val>
            <c:numRef>
              <c:f>Sheet1!$B$27:$B$31</c:f>
              <c:numCache>
                <c:formatCode>General</c:formatCode>
                <c:ptCount val="4"/>
                <c:pt idx="0">
                  <c:v>119</c:v>
                </c:pt>
                <c:pt idx="1">
                  <c:v>123</c:v>
                </c:pt>
                <c:pt idx="2">
                  <c:v>118</c:v>
                </c:pt>
                <c:pt idx="3">
                  <c:v>140</c:v>
                </c:pt>
              </c:numCache>
            </c:numRef>
          </c:val>
          <c:extLst>
            <c:ext xmlns:c16="http://schemas.microsoft.com/office/drawing/2014/chart" uri="{C3380CC4-5D6E-409C-BE32-E72D297353CC}">
              <c16:uniqueId val="{00000002-9874-4565-8B90-E1A8D0FEADD8}"/>
            </c:ext>
          </c:extLst>
        </c:ser>
        <c:dLbls>
          <c:dLblPos val="inEnd"/>
          <c:showLegendKey val="0"/>
          <c:showVal val="1"/>
          <c:showCatName val="0"/>
          <c:showSerName val="0"/>
          <c:showPercent val="0"/>
          <c:showBubbleSize val="0"/>
        </c:dLbls>
        <c:gapWidth val="227"/>
        <c:overlap val="-48"/>
        <c:axId val="1279339328"/>
        <c:axId val="1303302928"/>
      </c:barChart>
      <c:catAx>
        <c:axId val="1279339328"/>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302928"/>
        <c:crosses val="autoZero"/>
        <c:auto val="1"/>
        <c:lblAlgn val="ctr"/>
        <c:lblOffset val="100"/>
        <c:noMultiLvlLbl val="0"/>
      </c:catAx>
      <c:valAx>
        <c:axId val="1303302928"/>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933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[Cafe_Coffee_Day_Sales_Dataset.xlsx]Pivot-T!PivotTable3</c:name>
    <c:fmtId val="51"/>
  </c:pivotSource>
  <c:chart>
    <c:title>
      <c:tx>
        <c:rich>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Sales Trend by Month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'Pivot-T'!$B$21</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rrBars>
            <c:errDir val="y"/>
            <c:errBarType val="both"/>
            <c:errValType val="stdErr"/>
            <c:noEndCap val="0"/>
            <c:spPr>
              <a:noFill/>
              <a:ln w="9525">
                <a:solidFill>
                  <a:schemeClr val="tx1">
                    <a:lumMod val="50000"/>
                    <a:lumOff val="50000"/>
                  </a:schemeClr>
                </a:solidFill>
              </a:ln>
              <a:effectLst/>
            </c:spPr>
          </c:errBars>
          <c:cat>
            <c:strRef>
              <c:f>'Pivot-T'!$A$22:$A$34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'Pivot-T'!$B$22:$B$34</c:f>
              <c:numCache>
                <c:formatCode>_ [$₹-4009]\ * #,##0.00_ ;_ [$₹-4009]\ * \-#,##0.00_ ;_ [$₹-4009]\ * "-"??_ ;_ @_ </c:formatCode>
                <c:ptCount val="12"/>
                <c:pt idx="0">
                  <c:v>26962</c:v>
                </c:pt>
                <c:pt idx="1">
                  <c:v>22536</c:v>
                </c:pt>
                <c:pt idx="2">
                  <c:v>24552</c:v>
                </c:pt>
                <c:pt idx="3">
                  <c:v>20212</c:v>
                </c:pt>
                <c:pt idx="4">
                  <c:v>19196</c:v>
                </c:pt>
                <c:pt idx="5">
                  <c:v>26250</c:v>
                </c:pt>
                <c:pt idx="6">
                  <c:v>16436</c:v>
                </c:pt>
                <c:pt idx="7">
                  <c:v>20451</c:v>
                </c:pt>
                <c:pt idx="8">
                  <c:v>23600</c:v>
                </c:pt>
                <c:pt idx="9">
                  <c:v>29046</c:v>
                </c:pt>
                <c:pt idx="10">
                  <c:v>17601</c:v>
                </c:pt>
                <c:pt idx="11">
                  <c:v>19714</c:v>
                </c:pt>
              </c:numCache>
            </c:numRef>
          </c:val>
          <c:extLst>
            <c:ext xmlns:c16="http://schemas.microsoft.com/office/drawing/2014/chart" uri="{C3380CC4-5D6E-409C-BE32-E72D297353CC}">
              <c16:uniqueId val="{00000000-956F-4305-8D41-4A7A866DB651}"/>
            </c:ext>
          </c:extLst>
        </c:ser>
        <c:dLbls>
          <c:showLegendKey val="0"/>
          <c:showVal val="0"/>
          <c:showCatName val="0"/>
          <c:showSerName val="0"/>
          <c:showPercent val="0"/>
          <c:showBubbleSize val="0"/>
        </c:dLbls>
        <c:axId val="557758240"/>
        <c:axId val="1303284688"/>
      </c:areaChart>
      <c:catAx>
        <c:axId val="557758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03284688"/>
        <c:crosses val="autoZero"/>
        <c:auto val="1"/>
        <c:lblAlgn val="ctr"/>
        <c:lblOffset val="100"/>
        <c:noMultiLvlLbl val="0"/>
      </c:catAx>
      <c:valAx>
        <c:axId val="1303284688"/>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577582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[Cafe_Coffee_Day_Sales_Dataset.xlsx]Sheet1!PivotTable2</c:name>
    <c:fmtId val="87"/>
  </c:pivotSource>
  <c:chart>
    <c:title>
      <c:tx>
        <c:rich>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r>
              <a:rPr lang="en-IN" sz="1400" b="1" i="0" u="none" strike="noStrike" kern="1200" cap="none" spc="20" baseline="0">
                <a:solidFill>
                  <a:sysClr val="windowText" lastClr="000000">
                    <a:lumMod val="50000"/>
                    <a:lumOff val="50000"/>
                  </a:sysClr>
                </a:solidFill>
                <a:effectLst/>
                <a:latin typeface="+mn-lt"/>
                <a:ea typeface="+mn-ea"/>
                <a:cs typeface="+mn-cs"/>
              </a:rPr>
              <a:t>Top 10 Products </a:t>
            </a:r>
          </a:p>
        </c:rich>
      </c:tx>
      <c:overlay val="0"/>
      <c:spPr>
        <a:noFill/>
        <a:ln>
          <a:noFill/>
        </a:ln>
        <a:effectLst/>
      </c:spPr>
      <c:txPr>
        <a:bodyPr rot="0" spcFirstLastPara="1" vertOverflow="ellipsis" vert="horz" wrap="square" anchor="ctr" anchorCtr="1"/>
        <a:lstStyle/>
        <a:p>
          <a:pPr algn="ctr" rtl="0">
            <a:defRPr lang="en-IN" sz="1400" b="1" i="0" u="none" strike="noStrike" kern="1200" cap="none" spc="20" normalizeH="0" baseline="0">
              <a:solidFill>
                <a:sysClr val="windowText" lastClr="000000">
                  <a:lumMod val="50000"/>
                  <a:lumOff val="50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Sheet1!$A$35:$A$45</c:f>
              <c:strCache>
                <c:ptCount val="10"/>
                <c:pt idx="0">
                  <c:v>Tea</c:v>
                </c:pt>
                <c:pt idx="1">
                  <c:v>Muffin</c:v>
                </c:pt>
                <c:pt idx="2">
                  <c:v>Espresso</c:v>
                </c:pt>
                <c:pt idx="3">
                  <c:v>Brownie</c:v>
                </c:pt>
                <c:pt idx="4">
                  <c:v>Cappuccino</c:v>
                </c:pt>
                <c:pt idx="5">
                  <c:v>Fries</c:v>
                </c:pt>
                <c:pt idx="6">
                  <c:v>Mocha</c:v>
                </c:pt>
                <c:pt idx="7">
                  <c:v>Latte</c:v>
                </c:pt>
                <c:pt idx="8">
                  <c:v>Sandwich</c:v>
                </c:pt>
                <c:pt idx="9">
                  <c:v>Cold Coffee</c:v>
                </c:pt>
              </c:strCache>
            </c:strRef>
          </c:cat>
          <c:val>
            <c:numRef>
              <c:f>Sheet1!$B$35:$B$45</c:f>
              <c:numCache>
                <c:formatCode>General</c:formatCode>
                <c:ptCount val="10"/>
                <c:pt idx="0">
                  <c:v>16512</c:v>
                </c:pt>
                <c:pt idx="1">
                  <c:v>19052</c:v>
                </c:pt>
                <c:pt idx="2">
                  <c:v>19566</c:v>
                </c:pt>
                <c:pt idx="3">
                  <c:v>23480</c:v>
                </c:pt>
                <c:pt idx="4">
                  <c:v>27275</c:v>
                </c:pt>
                <c:pt idx="5">
                  <c:v>27774</c:v>
                </c:pt>
                <c:pt idx="6">
                  <c:v>29789</c:v>
                </c:pt>
                <c:pt idx="7">
                  <c:v>32806</c:v>
                </c:pt>
                <c:pt idx="8">
                  <c:v>34199</c:v>
                </c:pt>
                <c:pt idx="9">
                  <c:v>36103</c:v>
                </c:pt>
              </c:numCache>
            </c:numRef>
          </c:val>
          <c:extLst>
            <c:ext xmlns:c16="http://schemas.microsoft.com/office/drawing/2014/chart" uri="{C3380CC4-5D6E-409C-BE32-E72D297353CC}">
              <c16:uniqueId val="{00000001-1A84-4544-8C0A-2FDA567D9F75}"/>
            </c:ext>
          </c:extLst>
        </c:ser>
        <c:dLbls>
          <c:dLblPos val="outEnd"/>
          <c:showLegendKey val="0"/>
          <c:showVal val="1"/>
          <c:showCatName val="0"/>
          <c:showSerName val="0"/>
          <c:showPercent val="0"/>
          <c:showBubbleSize val="0"/>
        </c:dLbls>
        <c:gapWidth val="267"/>
        <c:overlap val="-43"/>
        <c:axId val="1458151008"/>
        <c:axId val="1446258544"/>
      </c:barChart>
      <c:catAx>
        <c:axId val="145815100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46258544"/>
        <c:crosses val="autoZero"/>
        <c:auto val="1"/>
        <c:lblAlgn val="ctr"/>
        <c:lblOffset val="100"/>
        <c:noMultiLvlLbl val="0"/>
      </c:catAx>
      <c:valAx>
        <c:axId val="1446258544"/>
        <c:scaling>
          <c:orientation val="minMax"/>
        </c:scaling>
        <c:delete val="1"/>
        <c:axPos val="l"/>
        <c:numFmt formatCode="General" sourceLinked="1"/>
        <c:majorTickMark val="none"/>
        <c:minorTickMark val="none"/>
        <c:tickLblPos val="nextTo"/>
        <c:crossAx val="1458151008"/>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23</xdr:col>
      <xdr:colOff>495300</xdr:colOff>
      <xdr:row>42</xdr:row>
      <xdr:rowOff>175260</xdr:rowOff>
    </xdr:to>
    <xdr:sp macro="" textlink="">
      <xdr:nvSpPr>
        <xdr:cNvPr id="3" name="Rectangle 2">
          <a:extLst>
            <a:ext uri="{FF2B5EF4-FFF2-40B4-BE49-F238E27FC236}">
              <a16:creationId xmlns:a16="http://schemas.microsoft.com/office/drawing/2014/main" id="{277AB995-8DFF-A644-EAC3-E5F34A918234}"/>
            </a:ext>
          </a:extLst>
        </xdr:cNvPr>
        <xdr:cNvSpPr/>
      </xdr:nvSpPr>
      <xdr:spPr>
        <a:xfrm>
          <a:off x="1531620" y="0"/>
          <a:ext cx="12687300" cy="785622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xdr:col>
      <xdr:colOff>274320</xdr:colOff>
      <xdr:row>43</xdr:row>
      <xdr:rowOff>0</xdr:rowOff>
    </xdr:to>
    <xdr:sp macro="" textlink="">
      <xdr:nvSpPr>
        <xdr:cNvPr id="2" name="Rectangle 1">
          <a:extLst>
            <a:ext uri="{FF2B5EF4-FFF2-40B4-BE49-F238E27FC236}">
              <a16:creationId xmlns:a16="http://schemas.microsoft.com/office/drawing/2014/main" id="{127A4BF9-76F4-71EA-3C82-9DD48A95CAAE}"/>
            </a:ext>
          </a:extLst>
        </xdr:cNvPr>
        <xdr:cNvSpPr/>
      </xdr:nvSpPr>
      <xdr:spPr>
        <a:xfrm>
          <a:off x="0" y="0"/>
          <a:ext cx="1516380" cy="7863840"/>
        </a:xfrm>
        <a:prstGeom prst="rect">
          <a:avLst/>
        </a:prstGeom>
        <a:solidFill>
          <a:srgbClr val="C00000"/>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outerShdw blurRad="50800" dist="38100" dir="2700000" algn="tl" rotWithShape="0">
                <a:prstClr val="black">
                  <a:alpha val="40000"/>
                </a:prstClr>
              </a:outerShdw>
            </a:effectLst>
          </a:endParaRPr>
        </a:p>
      </xdr:txBody>
    </xdr:sp>
    <xdr:clientData/>
  </xdr:twoCellAnchor>
  <xdr:twoCellAnchor>
    <xdr:from>
      <xdr:col>0</xdr:col>
      <xdr:colOff>38100</xdr:colOff>
      <xdr:row>0</xdr:row>
      <xdr:rowOff>38100</xdr:rowOff>
    </xdr:from>
    <xdr:to>
      <xdr:col>2</xdr:col>
      <xdr:colOff>228600</xdr:colOff>
      <xdr:row>2</xdr:row>
      <xdr:rowOff>114300</xdr:rowOff>
    </xdr:to>
    <xdr:sp macro="" textlink="">
      <xdr:nvSpPr>
        <xdr:cNvPr id="20" name="TextBox 19">
          <a:extLst>
            <a:ext uri="{FF2B5EF4-FFF2-40B4-BE49-F238E27FC236}">
              <a16:creationId xmlns:a16="http://schemas.microsoft.com/office/drawing/2014/main" id="{580AA95A-E26A-8C45-155E-8BA2AB0E4DC3}"/>
            </a:ext>
          </a:extLst>
        </xdr:cNvPr>
        <xdr:cNvSpPr txBox="1"/>
      </xdr:nvSpPr>
      <xdr:spPr>
        <a:xfrm>
          <a:off x="38100" y="38100"/>
          <a:ext cx="14325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bg1"/>
              </a:solidFill>
            </a:rPr>
            <a:t>Cafe Coffee Day</a:t>
          </a:r>
        </a:p>
      </xdr:txBody>
    </xdr:sp>
    <xdr:clientData/>
  </xdr:twoCellAnchor>
  <xdr:twoCellAnchor>
    <xdr:from>
      <xdr:col>0</xdr:col>
      <xdr:colOff>22860</xdr:colOff>
      <xdr:row>2</xdr:row>
      <xdr:rowOff>60960</xdr:rowOff>
    </xdr:from>
    <xdr:to>
      <xdr:col>2</xdr:col>
      <xdr:colOff>281940</xdr:colOff>
      <xdr:row>2</xdr:row>
      <xdr:rowOff>60960</xdr:rowOff>
    </xdr:to>
    <xdr:cxnSp macro="">
      <xdr:nvCxnSpPr>
        <xdr:cNvPr id="22" name="Straight Connector 21">
          <a:extLst>
            <a:ext uri="{FF2B5EF4-FFF2-40B4-BE49-F238E27FC236}">
              <a16:creationId xmlns:a16="http://schemas.microsoft.com/office/drawing/2014/main" id="{753A8BCF-9BBC-3E5E-5C4D-33B923457F14}"/>
            </a:ext>
          </a:extLst>
        </xdr:cNvPr>
        <xdr:cNvCxnSpPr/>
      </xdr:nvCxnSpPr>
      <xdr:spPr>
        <a:xfrm>
          <a:off x="22860" y="426720"/>
          <a:ext cx="150114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41910</xdr:colOff>
      <xdr:row>2</xdr:row>
      <xdr:rowOff>144780</xdr:rowOff>
    </xdr:from>
    <xdr:to>
      <xdr:col>2</xdr:col>
      <xdr:colOff>209550</xdr:colOff>
      <xdr:row>4</xdr:row>
      <xdr:rowOff>7620</xdr:rowOff>
    </xdr:to>
    <xdr:sp macro="" textlink="">
      <xdr:nvSpPr>
        <xdr:cNvPr id="12" name="TextBox 11">
          <a:extLst>
            <a:ext uri="{FF2B5EF4-FFF2-40B4-BE49-F238E27FC236}">
              <a16:creationId xmlns:a16="http://schemas.microsoft.com/office/drawing/2014/main" id="{C5321D50-E457-9521-67F1-7F35142EDAEC}"/>
            </a:ext>
          </a:extLst>
        </xdr:cNvPr>
        <xdr:cNvSpPr txBox="1"/>
      </xdr:nvSpPr>
      <xdr:spPr>
        <a:xfrm>
          <a:off x="41910" y="51054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Sales</a:t>
          </a:r>
          <a:r>
            <a:rPr lang="en-IN" b="1">
              <a:effectLst/>
            </a:rPr>
            <a:t> </a:t>
          </a:r>
          <a:endParaRPr lang="en-IN" sz="1100" b="1"/>
        </a:p>
      </xdr:txBody>
    </xdr:sp>
    <xdr:clientData/>
  </xdr:twoCellAnchor>
  <xdr:twoCellAnchor>
    <xdr:from>
      <xdr:col>0</xdr:col>
      <xdr:colOff>57150</xdr:colOff>
      <xdr:row>15</xdr:row>
      <xdr:rowOff>114300</xdr:rowOff>
    </xdr:from>
    <xdr:to>
      <xdr:col>2</xdr:col>
      <xdr:colOff>224790</xdr:colOff>
      <xdr:row>16</xdr:row>
      <xdr:rowOff>160020</xdr:rowOff>
    </xdr:to>
    <xdr:sp macro="" textlink="">
      <xdr:nvSpPr>
        <xdr:cNvPr id="13" name="TextBox 12">
          <a:extLst>
            <a:ext uri="{FF2B5EF4-FFF2-40B4-BE49-F238E27FC236}">
              <a16:creationId xmlns:a16="http://schemas.microsoft.com/office/drawing/2014/main" id="{C7D4C1B3-1AEA-4272-A3ED-9E73B39977CB}"/>
            </a:ext>
          </a:extLst>
        </xdr:cNvPr>
        <xdr:cNvSpPr txBox="1"/>
      </xdr:nvSpPr>
      <xdr:spPr>
        <a:xfrm>
          <a:off x="57150" y="285750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Best-Selling Product</a:t>
          </a:r>
          <a:r>
            <a:rPr lang="en-IN" b="1">
              <a:effectLst/>
            </a:rPr>
            <a:t> </a:t>
          </a:r>
          <a:endParaRPr lang="en-IN" sz="1100" b="1"/>
        </a:p>
      </xdr:txBody>
    </xdr:sp>
    <xdr:clientData/>
  </xdr:twoCellAnchor>
  <xdr:twoCellAnchor>
    <xdr:from>
      <xdr:col>0</xdr:col>
      <xdr:colOff>41910</xdr:colOff>
      <xdr:row>7</xdr:row>
      <xdr:rowOff>15240</xdr:rowOff>
    </xdr:from>
    <xdr:to>
      <xdr:col>2</xdr:col>
      <xdr:colOff>209550</xdr:colOff>
      <xdr:row>8</xdr:row>
      <xdr:rowOff>60960</xdr:rowOff>
    </xdr:to>
    <xdr:sp macro="" textlink="">
      <xdr:nvSpPr>
        <xdr:cNvPr id="14" name="TextBox 13">
          <a:extLst>
            <a:ext uri="{FF2B5EF4-FFF2-40B4-BE49-F238E27FC236}">
              <a16:creationId xmlns:a16="http://schemas.microsoft.com/office/drawing/2014/main" id="{35AD70F9-2451-4746-9C98-5A3E8CFF7941}"/>
            </a:ext>
          </a:extLst>
        </xdr:cNvPr>
        <xdr:cNvSpPr txBox="1"/>
      </xdr:nvSpPr>
      <xdr:spPr>
        <a:xfrm>
          <a:off x="41910" y="129540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a:solidFill>
                <a:schemeClr val="dk1"/>
              </a:solidFill>
              <a:effectLst/>
              <a:latin typeface="+mn-lt"/>
              <a:ea typeface="+mn-ea"/>
              <a:cs typeface="+mn-cs"/>
            </a:rPr>
            <a:t>Total Orders</a:t>
          </a:r>
          <a:r>
            <a:rPr lang="en-IN" b="1">
              <a:effectLst/>
            </a:rPr>
            <a:t> </a:t>
          </a:r>
          <a:endParaRPr lang="en-IN" sz="1100" b="1"/>
        </a:p>
      </xdr:txBody>
    </xdr:sp>
    <xdr:clientData/>
  </xdr:twoCellAnchor>
  <xdr:twoCellAnchor>
    <xdr:from>
      <xdr:col>0</xdr:col>
      <xdr:colOff>41910</xdr:colOff>
      <xdr:row>11</xdr:row>
      <xdr:rowOff>38100</xdr:rowOff>
    </xdr:from>
    <xdr:to>
      <xdr:col>2</xdr:col>
      <xdr:colOff>209550</xdr:colOff>
      <xdr:row>12</xdr:row>
      <xdr:rowOff>83820</xdr:rowOff>
    </xdr:to>
    <xdr:sp macro="" textlink="">
      <xdr:nvSpPr>
        <xdr:cNvPr id="15" name="TextBox 14">
          <a:extLst>
            <a:ext uri="{FF2B5EF4-FFF2-40B4-BE49-F238E27FC236}">
              <a16:creationId xmlns:a16="http://schemas.microsoft.com/office/drawing/2014/main" id="{DCC182D4-5EEC-4769-BD8D-705D1BC6A30F}"/>
            </a:ext>
          </a:extLst>
        </xdr:cNvPr>
        <xdr:cNvSpPr txBox="1"/>
      </xdr:nvSpPr>
      <xdr:spPr>
        <a:xfrm>
          <a:off x="41910" y="2049780"/>
          <a:ext cx="1409700" cy="2286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Average Order Value</a:t>
          </a:r>
          <a:r>
            <a:rPr lang="en-IN" b="1">
              <a:effectLst/>
            </a:rPr>
            <a:t> </a:t>
          </a:r>
          <a:endParaRPr lang="en-IN" sz="1100" b="1"/>
        </a:p>
      </xdr:txBody>
    </xdr:sp>
    <xdr:clientData/>
  </xdr:twoCellAnchor>
  <xdr:twoCellAnchor>
    <xdr:from>
      <xdr:col>0</xdr:col>
      <xdr:colOff>45720</xdr:colOff>
      <xdr:row>4</xdr:row>
      <xdr:rowOff>38100</xdr:rowOff>
    </xdr:from>
    <xdr:to>
      <xdr:col>2</xdr:col>
      <xdr:colOff>213360</xdr:colOff>
      <xdr:row>6</xdr:row>
      <xdr:rowOff>38100</xdr:rowOff>
    </xdr:to>
    <xdr:sp macro="" textlink="'Pivot-T'!F4">
      <xdr:nvSpPr>
        <xdr:cNvPr id="16" name="TextBox 15">
          <a:extLst>
            <a:ext uri="{FF2B5EF4-FFF2-40B4-BE49-F238E27FC236}">
              <a16:creationId xmlns:a16="http://schemas.microsoft.com/office/drawing/2014/main" id="{A5AB4D9E-0549-C16E-DEAE-D81D2855D76B}"/>
            </a:ext>
          </a:extLst>
        </xdr:cNvPr>
        <xdr:cNvSpPr txBox="1"/>
      </xdr:nvSpPr>
      <xdr:spPr>
        <a:xfrm>
          <a:off x="45720" y="76962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16F0576-0476-4902-8ED9-5B81D3F78264}"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 2,66,556.00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53340</xdr:colOff>
      <xdr:row>17</xdr:row>
      <xdr:rowOff>30480</xdr:rowOff>
    </xdr:from>
    <xdr:to>
      <xdr:col>2</xdr:col>
      <xdr:colOff>220980</xdr:colOff>
      <xdr:row>19</xdr:row>
      <xdr:rowOff>30480</xdr:rowOff>
    </xdr:to>
    <xdr:sp macro="" textlink="'Pivot-T'!I4">
      <xdr:nvSpPr>
        <xdr:cNvPr id="17" name="TextBox 16">
          <a:extLst>
            <a:ext uri="{FF2B5EF4-FFF2-40B4-BE49-F238E27FC236}">
              <a16:creationId xmlns:a16="http://schemas.microsoft.com/office/drawing/2014/main" id="{7857AAD7-483F-4B9D-A1A6-EE47759E19B5}"/>
            </a:ext>
          </a:extLst>
        </xdr:cNvPr>
        <xdr:cNvSpPr txBox="1"/>
      </xdr:nvSpPr>
      <xdr:spPr>
        <a:xfrm>
          <a:off x="53340" y="313944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89C75A-538E-4A7C-8028-786D7A1AF35E}"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Brownie</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45720</xdr:colOff>
      <xdr:row>12</xdr:row>
      <xdr:rowOff>121920</xdr:rowOff>
    </xdr:from>
    <xdr:to>
      <xdr:col>2</xdr:col>
      <xdr:colOff>213360</xdr:colOff>
      <xdr:row>14</xdr:row>
      <xdr:rowOff>121920</xdr:rowOff>
    </xdr:to>
    <xdr:sp macro="" textlink="'Pivot-T'!H4">
      <xdr:nvSpPr>
        <xdr:cNvPr id="18" name="TextBox 17">
          <a:extLst>
            <a:ext uri="{FF2B5EF4-FFF2-40B4-BE49-F238E27FC236}">
              <a16:creationId xmlns:a16="http://schemas.microsoft.com/office/drawing/2014/main" id="{FD1753E3-8F8D-424F-931E-6E479F6D9F23}"/>
            </a:ext>
          </a:extLst>
        </xdr:cNvPr>
        <xdr:cNvSpPr txBox="1"/>
      </xdr:nvSpPr>
      <xdr:spPr>
        <a:xfrm>
          <a:off x="45720" y="231648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FF8F7B-3276-40BB-B83E-EFADCFFFB39C}"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 ₹ 533.11 </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45720</xdr:colOff>
      <xdr:row>8</xdr:row>
      <xdr:rowOff>99060</xdr:rowOff>
    </xdr:from>
    <xdr:to>
      <xdr:col>2</xdr:col>
      <xdr:colOff>213360</xdr:colOff>
      <xdr:row>10</xdr:row>
      <xdr:rowOff>99060</xdr:rowOff>
    </xdr:to>
    <xdr:sp macro="" textlink="'Pivot-T'!G4">
      <xdr:nvSpPr>
        <xdr:cNvPr id="19" name="TextBox 18">
          <a:extLst>
            <a:ext uri="{FF2B5EF4-FFF2-40B4-BE49-F238E27FC236}">
              <a16:creationId xmlns:a16="http://schemas.microsoft.com/office/drawing/2014/main" id="{F6B0D285-A69B-4B42-B52C-2ED9E07E9ADA}"/>
            </a:ext>
          </a:extLst>
        </xdr:cNvPr>
        <xdr:cNvSpPr txBox="1"/>
      </xdr:nvSpPr>
      <xdr:spPr>
        <a:xfrm>
          <a:off x="45720" y="156210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D04EF8-FCDB-4869-814A-F0CAAD6C1C5C}" type="TxLink">
            <a:rPr lang="en-US" sz="14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500</a:t>
          </a:fld>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38100</xdr:colOff>
      <xdr:row>0</xdr:row>
      <xdr:rowOff>30480</xdr:rowOff>
    </xdr:from>
    <xdr:to>
      <xdr:col>7</xdr:col>
      <xdr:colOff>22860</xdr:colOff>
      <xdr:row>11</xdr:row>
      <xdr:rowOff>137160</xdr:rowOff>
    </xdr:to>
    <xdr:graphicFrame macro="">
      <xdr:nvGraphicFramePr>
        <xdr:cNvPr id="24" name="Chart 23">
          <a:extLst>
            <a:ext uri="{FF2B5EF4-FFF2-40B4-BE49-F238E27FC236}">
              <a16:creationId xmlns:a16="http://schemas.microsoft.com/office/drawing/2014/main" id="{AE82D702-7B79-41A6-B3C2-6E917ACA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60960</xdr:colOff>
      <xdr:row>0</xdr:row>
      <xdr:rowOff>30480</xdr:rowOff>
    </xdr:from>
    <xdr:to>
      <xdr:col>17</xdr:col>
      <xdr:colOff>83820</xdr:colOff>
      <xdr:row>11</xdr:row>
      <xdr:rowOff>137160</xdr:rowOff>
    </xdr:to>
    <xdr:graphicFrame macro="">
      <xdr:nvGraphicFramePr>
        <xdr:cNvPr id="25" name="Chart 24">
          <a:extLst>
            <a:ext uri="{FF2B5EF4-FFF2-40B4-BE49-F238E27FC236}">
              <a16:creationId xmlns:a16="http://schemas.microsoft.com/office/drawing/2014/main" id="{FC9256E8-8BFA-418D-909E-C92CA55FC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114300</xdr:colOff>
      <xdr:row>0</xdr:row>
      <xdr:rowOff>38100</xdr:rowOff>
    </xdr:from>
    <xdr:to>
      <xdr:col>23</xdr:col>
      <xdr:colOff>464820</xdr:colOff>
      <xdr:row>11</xdr:row>
      <xdr:rowOff>129540</xdr:rowOff>
    </xdr:to>
    <xdr:graphicFrame macro="">
      <xdr:nvGraphicFramePr>
        <xdr:cNvPr id="26" name="Chart 25">
          <a:extLst>
            <a:ext uri="{FF2B5EF4-FFF2-40B4-BE49-F238E27FC236}">
              <a16:creationId xmlns:a16="http://schemas.microsoft.com/office/drawing/2014/main" id="{63EC817B-612C-4B46-9322-6A751470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45720</xdr:colOff>
      <xdr:row>12</xdr:row>
      <xdr:rowOff>0</xdr:rowOff>
    </xdr:from>
    <xdr:to>
      <xdr:col>14</xdr:col>
      <xdr:colOff>487680</xdr:colOff>
      <xdr:row>23</xdr:row>
      <xdr:rowOff>106680</xdr:rowOff>
    </xdr:to>
    <xdr:graphicFrame macro="">
      <xdr:nvGraphicFramePr>
        <xdr:cNvPr id="31" name="Chart 30">
          <a:extLst>
            <a:ext uri="{FF2B5EF4-FFF2-40B4-BE49-F238E27FC236}">
              <a16:creationId xmlns:a16="http://schemas.microsoft.com/office/drawing/2014/main" id="{70989458-FBEF-46C0-9F09-ACDC77CB9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518160</xdr:colOff>
      <xdr:row>11</xdr:row>
      <xdr:rowOff>175260</xdr:rowOff>
    </xdr:from>
    <xdr:to>
      <xdr:col>23</xdr:col>
      <xdr:colOff>472440</xdr:colOff>
      <xdr:row>23</xdr:row>
      <xdr:rowOff>121920</xdr:rowOff>
    </xdr:to>
    <xdr:graphicFrame macro="">
      <xdr:nvGraphicFramePr>
        <xdr:cNvPr id="5" name="Chart 4">
          <a:extLst>
            <a:ext uri="{FF2B5EF4-FFF2-40B4-BE49-F238E27FC236}">
              <a16:creationId xmlns:a16="http://schemas.microsoft.com/office/drawing/2014/main" id="{6F394170-4801-4C65-9C6C-A9010F36D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68580</xdr:colOff>
      <xdr:row>23</xdr:row>
      <xdr:rowOff>160020</xdr:rowOff>
    </xdr:from>
    <xdr:to>
      <xdr:col>23</xdr:col>
      <xdr:colOff>480060</xdr:colOff>
      <xdr:row>27</xdr:row>
      <xdr:rowOff>68579</xdr:rowOff>
    </xdr:to>
    <mc:AlternateContent xmlns:mc="http://schemas.openxmlformats.org/markup-compatibility/2006" xmlns:a14="http://schemas.microsoft.com/office/drawing/2010/main">
      <mc:Choice Requires="a14">
        <xdr:graphicFrame macro="">
          <xdr:nvGraphicFramePr>
            <xdr:cNvPr id="10" name="Product">
              <a:extLst>
                <a:ext uri="{FF2B5EF4-FFF2-40B4-BE49-F238E27FC236}">
                  <a16:creationId xmlns:a16="http://schemas.microsoft.com/office/drawing/2014/main" id="{A87E5631-283C-403C-BED9-21705759340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600200" y="4366260"/>
              <a:ext cx="12496800" cy="640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18</xdr:row>
      <xdr:rowOff>160020</xdr:rowOff>
    </xdr:from>
    <xdr:to>
      <xdr:col>2</xdr:col>
      <xdr:colOff>243840</xdr:colOff>
      <xdr:row>27</xdr:row>
      <xdr:rowOff>68580</xdr:rowOff>
    </xdr:to>
    <mc:AlternateContent xmlns:mc="http://schemas.openxmlformats.org/markup-compatibility/2006" xmlns:a14="http://schemas.microsoft.com/office/drawing/2010/main">
      <mc:Choice Requires="a14">
        <xdr:graphicFrame macro="">
          <xdr:nvGraphicFramePr>
            <xdr:cNvPr id="4" name="State">
              <a:extLst>
                <a:ext uri="{FF2B5EF4-FFF2-40B4-BE49-F238E27FC236}">
                  <a16:creationId xmlns:a16="http://schemas.microsoft.com/office/drawing/2014/main" id="{83968ADE-C2B8-4868-9A8A-0BC60F90E88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2860" y="3451860"/>
              <a:ext cx="146304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a sampath" refreshedDate="46241.45909016204" createdVersion="8" refreshedVersion="8" minRefreshableVersion="3" recordCount="500" xr:uid="{86B07FE1-4CA8-42E7-9D7E-A9BD1993BAEC}">
  <cacheSource type="worksheet">
    <worksheetSource ref="A1:L501" sheet="CCD_Sales"/>
  </cacheSource>
  <cacheFields count="12">
    <cacheField name="Order_ID" numFmtId="0">
      <sharedItems/>
    </cacheField>
    <cacheField name="Date" numFmtId="0">
      <sharedItems/>
    </cacheField>
    <cacheField name="Month" numFmtId="165">
      <sharedItems count="12">
        <s v="October"/>
        <s v="March"/>
        <s v="May"/>
        <s v="July"/>
        <s v="December"/>
        <s v="February"/>
        <s v="August"/>
        <s v="April"/>
        <s v="September"/>
        <s v="June"/>
        <s v="January"/>
        <s v="November"/>
      </sharedItems>
    </cacheField>
    <cacheField name="State" numFmtId="0">
      <sharedItems count="7">
        <s v="Visakhapatnam"/>
        <s v="Delhi"/>
        <s v="Hyderabad"/>
        <s v="Bangalore"/>
        <s v="Mumbai"/>
        <s v="Pune"/>
        <s v="Chennai"/>
      </sharedItems>
    </cacheField>
    <cacheField name="Country" numFmtId="0">
      <sharedItems/>
    </cacheField>
    <cacheField name="Store" numFmtId="0">
      <sharedItems/>
    </cacheField>
    <cacheField name="Product" numFmtId="0">
      <sharedItems count="10">
        <s v="Cappuccino"/>
        <s v="Muffin"/>
        <s v="Fries"/>
        <s v="Latte"/>
        <s v="Cold Coffee"/>
        <s v="Mocha"/>
        <s v="Tea"/>
        <s v="Espresso"/>
        <s v="Sandwich"/>
        <s v="Brownie"/>
      </sharedItems>
    </cacheField>
    <cacheField name="Category" numFmtId="0">
      <sharedItems count="4">
        <s v="Coffee"/>
        <s v="Dessert"/>
        <s v="Food"/>
        <s v="Beverage"/>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100" maxValue="270"/>
    </cacheField>
    <cacheField name="Sales" numFmtId="0">
      <sharedItems containsSemiMixedTypes="0" containsString="0" containsNumber="1" containsInteger="1" minValue="106" maxValue="1340"/>
    </cacheField>
    <cacheField name="Payment_Mode" numFmtId="0">
      <sharedItems count="4">
        <s v="Card"/>
        <s v="Cash"/>
        <s v="Wallet"/>
        <s v="UPI"/>
      </sharedItems>
    </cacheField>
  </cacheFields>
  <extLst>
    <ext xmlns:x14="http://schemas.microsoft.com/office/spreadsheetml/2009/9/main" uri="{725AE2AE-9491-48be-B2B4-4EB974FC3084}">
      <x14:pivotCacheDefinition pivotCacheId="11774112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CCD1000"/>
    <s v="2025-10-12"/>
    <x v="0"/>
    <x v="0"/>
    <s v="India"/>
    <s v="CCD Beach Road"/>
    <x v="0"/>
    <x v="0"/>
    <n v="5"/>
    <n v="167"/>
    <n v="835"/>
    <x v="0"/>
  </r>
  <r>
    <s v="CCD1001"/>
    <s v="2025-10-28"/>
    <x v="0"/>
    <x v="1"/>
    <s v="India"/>
    <s v="CCD Beach Road"/>
    <x v="1"/>
    <x v="1"/>
    <n v="3"/>
    <n v="144"/>
    <n v="432"/>
    <x v="1"/>
  </r>
  <r>
    <s v="CCD1002"/>
    <s v="2025-03-21"/>
    <x v="1"/>
    <x v="2"/>
    <s v="India"/>
    <s v="CCD IT Park"/>
    <x v="2"/>
    <x v="2"/>
    <n v="4"/>
    <n v="183"/>
    <n v="732"/>
    <x v="1"/>
  </r>
  <r>
    <s v="CCD1003"/>
    <s v="2025-05-08"/>
    <x v="2"/>
    <x v="0"/>
    <s v="India"/>
    <s v="CCD MG Road"/>
    <x v="3"/>
    <x v="0"/>
    <n v="3"/>
    <n v="195"/>
    <n v="585"/>
    <x v="2"/>
  </r>
  <r>
    <s v="CCD1004"/>
    <s v="2025-03-29"/>
    <x v="1"/>
    <x v="2"/>
    <s v="India"/>
    <s v="CCD IT Park"/>
    <x v="2"/>
    <x v="2"/>
    <n v="2"/>
    <n v="174"/>
    <n v="348"/>
    <x v="2"/>
  </r>
  <r>
    <s v="CCD1005"/>
    <s v="2025-07-01"/>
    <x v="3"/>
    <x v="1"/>
    <s v="India"/>
    <s v="CCD Airport"/>
    <x v="0"/>
    <x v="0"/>
    <n v="4"/>
    <n v="191"/>
    <n v="764"/>
    <x v="3"/>
  </r>
  <r>
    <s v="CCD1006"/>
    <s v="2025-12-22"/>
    <x v="4"/>
    <x v="3"/>
    <s v="India"/>
    <s v="CCD Mall"/>
    <x v="4"/>
    <x v="3"/>
    <n v="2"/>
    <n v="206"/>
    <n v="412"/>
    <x v="3"/>
  </r>
  <r>
    <s v="CCD1007"/>
    <s v="2025-02-26"/>
    <x v="5"/>
    <x v="4"/>
    <s v="India"/>
    <s v="CCD Beach Road"/>
    <x v="0"/>
    <x v="0"/>
    <n v="2"/>
    <n v="200"/>
    <n v="400"/>
    <x v="0"/>
  </r>
  <r>
    <s v="CCD1008"/>
    <s v="2025-08-17"/>
    <x v="6"/>
    <x v="0"/>
    <s v="India"/>
    <s v="CCD Beach Road"/>
    <x v="3"/>
    <x v="0"/>
    <n v="4"/>
    <n v="193"/>
    <n v="772"/>
    <x v="0"/>
  </r>
  <r>
    <s v="CCD1009"/>
    <s v="2025-12-09"/>
    <x v="4"/>
    <x v="5"/>
    <s v="India"/>
    <s v="CCD IT Park"/>
    <x v="1"/>
    <x v="1"/>
    <n v="3"/>
    <n v="120"/>
    <n v="360"/>
    <x v="2"/>
  </r>
  <r>
    <s v="CCD1010"/>
    <s v="2025-02-13"/>
    <x v="5"/>
    <x v="6"/>
    <s v="India"/>
    <s v="CCD MG Road"/>
    <x v="4"/>
    <x v="3"/>
    <n v="1"/>
    <n v="215"/>
    <n v="215"/>
    <x v="3"/>
  </r>
  <r>
    <s v="CCD1011"/>
    <s v="2025-04-07"/>
    <x v="7"/>
    <x v="5"/>
    <s v="India"/>
    <s v="CCD Beach Road"/>
    <x v="5"/>
    <x v="0"/>
    <n v="1"/>
    <n v="204"/>
    <n v="204"/>
    <x v="0"/>
  </r>
  <r>
    <s v="CCD1012"/>
    <s v="2025-02-19"/>
    <x v="5"/>
    <x v="1"/>
    <s v="India"/>
    <s v="CCD IT Park"/>
    <x v="1"/>
    <x v="1"/>
    <n v="5"/>
    <n v="132"/>
    <n v="660"/>
    <x v="2"/>
  </r>
  <r>
    <s v="CCD1013"/>
    <s v="2025-10-02"/>
    <x v="0"/>
    <x v="1"/>
    <s v="India"/>
    <s v="CCD Mall"/>
    <x v="1"/>
    <x v="1"/>
    <n v="2"/>
    <n v="134"/>
    <n v="268"/>
    <x v="1"/>
  </r>
  <r>
    <s v="CCD1014"/>
    <s v="2025-12-30"/>
    <x v="4"/>
    <x v="5"/>
    <s v="India"/>
    <s v="CCD MG Road"/>
    <x v="1"/>
    <x v="1"/>
    <n v="5"/>
    <n v="134"/>
    <n v="670"/>
    <x v="1"/>
  </r>
  <r>
    <s v="CCD1015"/>
    <s v="2025-02-18"/>
    <x v="5"/>
    <x v="2"/>
    <s v="India"/>
    <s v="CCD IT Park"/>
    <x v="6"/>
    <x v="3"/>
    <n v="5"/>
    <n v="136"/>
    <n v="680"/>
    <x v="1"/>
  </r>
  <r>
    <s v="CCD1016"/>
    <s v="2025-03-15"/>
    <x v="1"/>
    <x v="0"/>
    <s v="India"/>
    <s v="CCD Beach Road"/>
    <x v="7"/>
    <x v="0"/>
    <n v="2"/>
    <n v="145"/>
    <n v="290"/>
    <x v="0"/>
  </r>
  <r>
    <s v="CCD1017"/>
    <s v="2025-04-15"/>
    <x v="7"/>
    <x v="1"/>
    <s v="India"/>
    <s v="CCD MG Road"/>
    <x v="2"/>
    <x v="2"/>
    <n v="2"/>
    <n v="169"/>
    <n v="338"/>
    <x v="3"/>
  </r>
  <r>
    <s v="CCD1018"/>
    <s v="2025-03-05"/>
    <x v="1"/>
    <x v="4"/>
    <s v="India"/>
    <s v="CCD Mall"/>
    <x v="8"/>
    <x v="2"/>
    <n v="2"/>
    <n v="270"/>
    <n v="540"/>
    <x v="1"/>
  </r>
  <r>
    <s v="CCD1019"/>
    <s v="2025-09-18"/>
    <x v="8"/>
    <x v="0"/>
    <s v="India"/>
    <s v="CCD Airport"/>
    <x v="1"/>
    <x v="1"/>
    <n v="3"/>
    <n v="126"/>
    <n v="378"/>
    <x v="0"/>
  </r>
  <r>
    <s v="CCD1020"/>
    <s v="2025-06-22"/>
    <x v="9"/>
    <x v="5"/>
    <s v="India"/>
    <s v="CCD Mall"/>
    <x v="9"/>
    <x v="1"/>
    <n v="5"/>
    <n v="171"/>
    <n v="855"/>
    <x v="1"/>
  </r>
  <r>
    <s v="CCD1021"/>
    <s v="2025-09-28"/>
    <x v="8"/>
    <x v="5"/>
    <s v="India"/>
    <s v="CCD IT Park"/>
    <x v="7"/>
    <x v="0"/>
    <n v="4"/>
    <n v="144"/>
    <n v="576"/>
    <x v="0"/>
  </r>
  <r>
    <s v="CCD1022"/>
    <s v="2025-01-04"/>
    <x v="10"/>
    <x v="6"/>
    <s v="India"/>
    <s v="CCD Mall"/>
    <x v="4"/>
    <x v="3"/>
    <n v="4"/>
    <n v="239"/>
    <n v="956"/>
    <x v="2"/>
  </r>
  <r>
    <s v="CCD1023"/>
    <s v="2025-06-17"/>
    <x v="9"/>
    <x v="1"/>
    <s v="India"/>
    <s v="CCD MG Road"/>
    <x v="6"/>
    <x v="3"/>
    <n v="5"/>
    <n v="107"/>
    <n v="535"/>
    <x v="0"/>
  </r>
  <r>
    <s v="CCD1024"/>
    <s v="2025-11-28"/>
    <x v="11"/>
    <x v="2"/>
    <s v="India"/>
    <s v="CCD IT Park"/>
    <x v="4"/>
    <x v="3"/>
    <n v="2"/>
    <n v="232"/>
    <n v="464"/>
    <x v="1"/>
  </r>
  <r>
    <s v="CCD1025"/>
    <s v="2025-10-16"/>
    <x v="0"/>
    <x v="4"/>
    <s v="India"/>
    <s v="CCD MG Road"/>
    <x v="0"/>
    <x v="0"/>
    <n v="4"/>
    <n v="178"/>
    <n v="712"/>
    <x v="0"/>
  </r>
  <r>
    <s v="CCD1026"/>
    <s v="2025-10-05"/>
    <x v="0"/>
    <x v="0"/>
    <s v="India"/>
    <s v="CCD IT Park"/>
    <x v="1"/>
    <x v="1"/>
    <n v="2"/>
    <n v="156"/>
    <n v="312"/>
    <x v="3"/>
  </r>
  <r>
    <s v="CCD1027"/>
    <s v="2025-10-31"/>
    <x v="0"/>
    <x v="4"/>
    <s v="India"/>
    <s v="CCD MG Road"/>
    <x v="2"/>
    <x v="2"/>
    <n v="3"/>
    <n v="175"/>
    <n v="525"/>
    <x v="1"/>
  </r>
  <r>
    <s v="CCD1028"/>
    <s v="2025-09-20"/>
    <x v="8"/>
    <x v="1"/>
    <s v="India"/>
    <s v="CCD Airport"/>
    <x v="9"/>
    <x v="1"/>
    <n v="4"/>
    <n v="142"/>
    <n v="568"/>
    <x v="1"/>
  </r>
  <r>
    <s v="CCD1029"/>
    <s v="2025-01-10"/>
    <x v="10"/>
    <x v="1"/>
    <s v="India"/>
    <s v="CCD Airport"/>
    <x v="7"/>
    <x v="0"/>
    <n v="3"/>
    <n v="130"/>
    <n v="390"/>
    <x v="2"/>
  </r>
  <r>
    <s v="CCD1030"/>
    <s v="2025-08-19"/>
    <x v="6"/>
    <x v="4"/>
    <s v="India"/>
    <s v="CCD Mall"/>
    <x v="1"/>
    <x v="1"/>
    <n v="4"/>
    <n v="136"/>
    <n v="544"/>
    <x v="3"/>
  </r>
  <r>
    <s v="CCD1031"/>
    <s v="2025-05-12"/>
    <x v="2"/>
    <x v="6"/>
    <s v="India"/>
    <s v="CCD Beach Road"/>
    <x v="7"/>
    <x v="0"/>
    <n v="3"/>
    <n v="130"/>
    <n v="390"/>
    <x v="3"/>
  </r>
  <r>
    <s v="CCD1032"/>
    <s v="2025-09-23"/>
    <x v="8"/>
    <x v="3"/>
    <s v="India"/>
    <s v="CCD Mall"/>
    <x v="2"/>
    <x v="2"/>
    <n v="3"/>
    <n v="182"/>
    <n v="546"/>
    <x v="3"/>
  </r>
  <r>
    <s v="CCD1033"/>
    <s v="2025-01-28"/>
    <x v="10"/>
    <x v="2"/>
    <s v="India"/>
    <s v="CCD Airport"/>
    <x v="0"/>
    <x v="0"/>
    <n v="3"/>
    <n v="199"/>
    <n v="597"/>
    <x v="1"/>
  </r>
  <r>
    <s v="CCD1034"/>
    <s v="2025-09-01"/>
    <x v="8"/>
    <x v="4"/>
    <s v="India"/>
    <s v="CCD MG Road"/>
    <x v="6"/>
    <x v="3"/>
    <n v="3"/>
    <n v="107"/>
    <n v="321"/>
    <x v="1"/>
  </r>
  <r>
    <s v="CCD1035"/>
    <s v="2025-04-13"/>
    <x v="7"/>
    <x v="2"/>
    <s v="India"/>
    <s v="CCD MG Road"/>
    <x v="0"/>
    <x v="0"/>
    <n v="2"/>
    <n v="174"/>
    <n v="348"/>
    <x v="3"/>
  </r>
  <r>
    <s v="CCD1036"/>
    <s v="2025-07-27"/>
    <x v="3"/>
    <x v="0"/>
    <s v="India"/>
    <s v="CCD Mall"/>
    <x v="9"/>
    <x v="1"/>
    <n v="3"/>
    <n v="179"/>
    <n v="537"/>
    <x v="1"/>
  </r>
  <r>
    <s v="CCD1037"/>
    <s v="2025-03-30"/>
    <x v="1"/>
    <x v="2"/>
    <s v="India"/>
    <s v="CCD Mall"/>
    <x v="1"/>
    <x v="1"/>
    <n v="5"/>
    <n v="126"/>
    <n v="630"/>
    <x v="1"/>
  </r>
  <r>
    <s v="CCD1038"/>
    <s v="2025-05-13"/>
    <x v="2"/>
    <x v="6"/>
    <s v="India"/>
    <s v="CCD Mall"/>
    <x v="5"/>
    <x v="0"/>
    <n v="3"/>
    <n v="202"/>
    <n v="606"/>
    <x v="2"/>
  </r>
  <r>
    <s v="CCD1039"/>
    <s v="2025-10-16"/>
    <x v="0"/>
    <x v="4"/>
    <s v="India"/>
    <s v="CCD MG Road"/>
    <x v="1"/>
    <x v="1"/>
    <n v="1"/>
    <n v="142"/>
    <n v="142"/>
    <x v="2"/>
  </r>
  <r>
    <s v="CCD1040"/>
    <s v="2025-06-19"/>
    <x v="9"/>
    <x v="2"/>
    <s v="India"/>
    <s v="CCD Mall"/>
    <x v="8"/>
    <x v="2"/>
    <n v="1"/>
    <n v="256"/>
    <n v="256"/>
    <x v="2"/>
  </r>
  <r>
    <s v="CCD1041"/>
    <s v="2025-07-25"/>
    <x v="3"/>
    <x v="6"/>
    <s v="India"/>
    <s v="CCD Beach Road"/>
    <x v="7"/>
    <x v="0"/>
    <n v="3"/>
    <n v="137"/>
    <n v="411"/>
    <x v="3"/>
  </r>
  <r>
    <s v="CCD1042"/>
    <s v="2025-08-01"/>
    <x v="6"/>
    <x v="3"/>
    <s v="India"/>
    <s v="CCD Airport"/>
    <x v="3"/>
    <x v="0"/>
    <n v="2"/>
    <n v="181"/>
    <n v="362"/>
    <x v="0"/>
  </r>
  <r>
    <s v="CCD1043"/>
    <s v="2025-07-01"/>
    <x v="3"/>
    <x v="3"/>
    <s v="India"/>
    <s v="CCD Mall"/>
    <x v="6"/>
    <x v="3"/>
    <n v="3"/>
    <n v="134"/>
    <n v="402"/>
    <x v="2"/>
  </r>
  <r>
    <s v="CCD1044"/>
    <s v="2025-05-24"/>
    <x v="2"/>
    <x v="3"/>
    <s v="India"/>
    <s v="CCD Airport"/>
    <x v="5"/>
    <x v="0"/>
    <n v="4"/>
    <n v="208"/>
    <n v="832"/>
    <x v="0"/>
  </r>
  <r>
    <s v="CCD1045"/>
    <s v="2025-05-18"/>
    <x v="2"/>
    <x v="2"/>
    <s v="India"/>
    <s v="CCD MG Road"/>
    <x v="7"/>
    <x v="0"/>
    <n v="3"/>
    <n v="132"/>
    <n v="396"/>
    <x v="3"/>
  </r>
  <r>
    <s v="CCD1046"/>
    <s v="2025-11-24"/>
    <x v="11"/>
    <x v="4"/>
    <s v="India"/>
    <s v="CCD Beach Road"/>
    <x v="9"/>
    <x v="1"/>
    <n v="1"/>
    <n v="172"/>
    <n v="172"/>
    <x v="1"/>
  </r>
  <r>
    <s v="CCD1047"/>
    <s v="2025-06-29"/>
    <x v="9"/>
    <x v="5"/>
    <s v="India"/>
    <s v="CCD MG Road"/>
    <x v="9"/>
    <x v="1"/>
    <n v="5"/>
    <n v="149"/>
    <n v="745"/>
    <x v="2"/>
  </r>
  <r>
    <s v="CCD1048"/>
    <s v="2025-03-18"/>
    <x v="1"/>
    <x v="2"/>
    <s v="India"/>
    <s v="CCD Mall"/>
    <x v="3"/>
    <x v="0"/>
    <n v="3"/>
    <n v="207"/>
    <n v="621"/>
    <x v="0"/>
  </r>
  <r>
    <s v="CCD1049"/>
    <s v="2025-10-18"/>
    <x v="0"/>
    <x v="3"/>
    <s v="India"/>
    <s v="CCD IT Park"/>
    <x v="0"/>
    <x v="0"/>
    <n v="5"/>
    <n v="174"/>
    <n v="870"/>
    <x v="0"/>
  </r>
  <r>
    <s v="CCD1050"/>
    <s v="2025-10-05"/>
    <x v="0"/>
    <x v="1"/>
    <s v="India"/>
    <s v="CCD IT Park"/>
    <x v="4"/>
    <x v="3"/>
    <n v="4"/>
    <n v="216"/>
    <n v="864"/>
    <x v="0"/>
  </r>
  <r>
    <s v="CCD1051"/>
    <s v="2025-07-29"/>
    <x v="3"/>
    <x v="6"/>
    <s v="India"/>
    <s v="CCD Beach Road"/>
    <x v="4"/>
    <x v="3"/>
    <n v="2"/>
    <n v="222"/>
    <n v="444"/>
    <x v="0"/>
  </r>
  <r>
    <s v="CCD1052"/>
    <s v="2025-11-24"/>
    <x v="11"/>
    <x v="0"/>
    <s v="India"/>
    <s v="CCD MG Road"/>
    <x v="3"/>
    <x v="0"/>
    <n v="2"/>
    <n v="199"/>
    <n v="398"/>
    <x v="0"/>
  </r>
  <r>
    <s v="CCD1053"/>
    <s v="2025-01-28"/>
    <x v="10"/>
    <x v="4"/>
    <s v="India"/>
    <s v="CCD IT Park"/>
    <x v="5"/>
    <x v="0"/>
    <n v="2"/>
    <n v="197"/>
    <n v="394"/>
    <x v="2"/>
  </r>
  <r>
    <s v="CCD1054"/>
    <s v="2025-06-17"/>
    <x v="9"/>
    <x v="6"/>
    <s v="India"/>
    <s v="CCD Beach Road"/>
    <x v="9"/>
    <x v="1"/>
    <n v="3"/>
    <n v="140"/>
    <n v="420"/>
    <x v="2"/>
  </r>
  <r>
    <s v="CCD1055"/>
    <s v="2025-08-25"/>
    <x v="6"/>
    <x v="3"/>
    <s v="India"/>
    <s v="CCD MG Road"/>
    <x v="4"/>
    <x v="3"/>
    <n v="4"/>
    <n v="239"/>
    <n v="956"/>
    <x v="3"/>
  </r>
  <r>
    <s v="CCD1056"/>
    <s v="2025-09-09"/>
    <x v="8"/>
    <x v="3"/>
    <s v="India"/>
    <s v="CCD MG Road"/>
    <x v="6"/>
    <x v="3"/>
    <n v="3"/>
    <n v="120"/>
    <n v="360"/>
    <x v="1"/>
  </r>
  <r>
    <s v="CCD1057"/>
    <s v="2025-02-05"/>
    <x v="5"/>
    <x v="3"/>
    <s v="India"/>
    <s v="CCD Mall"/>
    <x v="5"/>
    <x v="0"/>
    <n v="5"/>
    <n v="207"/>
    <n v="1035"/>
    <x v="3"/>
  </r>
  <r>
    <s v="CCD1058"/>
    <s v="2025-04-27"/>
    <x v="7"/>
    <x v="2"/>
    <s v="India"/>
    <s v="CCD Airport"/>
    <x v="8"/>
    <x v="2"/>
    <n v="4"/>
    <n v="250"/>
    <n v="1000"/>
    <x v="3"/>
  </r>
  <r>
    <s v="CCD1059"/>
    <s v="2025-06-04"/>
    <x v="9"/>
    <x v="3"/>
    <s v="India"/>
    <s v="CCD IT Park"/>
    <x v="8"/>
    <x v="2"/>
    <n v="5"/>
    <n v="246"/>
    <n v="1230"/>
    <x v="0"/>
  </r>
  <r>
    <s v="CCD1060"/>
    <s v="2025-09-25"/>
    <x v="8"/>
    <x v="6"/>
    <s v="India"/>
    <s v="CCD MG Road"/>
    <x v="8"/>
    <x v="2"/>
    <n v="3"/>
    <n v="270"/>
    <n v="810"/>
    <x v="1"/>
  </r>
  <r>
    <s v="CCD1061"/>
    <s v="2025-08-07"/>
    <x v="6"/>
    <x v="1"/>
    <s v="India"/>
    <s v="CCD MG Road"/>
    <x v="3"/>
    <x v="0"/>
    <n v="1"/>
    <n v="194"/>
    <n v="194"/>
    <x v="1"/>
  </r>
  <r>
    <s v="CCD1062"/>
    <s v="2025-08-27"/>
    <x v="6"/>
    <x v="2"/>
    <s v="India"/>
    <s v="CCD Beach Road"/>
    <x v="3"/>
    <x v="0"/>
    <n v="3"/>
    <n v="182"/>
    <n v="546"/>
    <x v="2"/>
  </r>
  <r>
    <s v="CCD1063"/>
    <s v="2025-02-02"/>
    <x v="5"/>
    <x v="0"/>
    <s v="India"/>
    <s v="CCD IT Park"/>
    <x v="4"/>
    <x v="3"/>
    <n v="3"/>
    <n v="206"/>
    <n v="618"/>
    <x v="2"/>
  </r>
  <r>
    <s v="CCD1064"/>
    <s v="2025-03-31"/>
    <x v="1"/>
    <x v="6"/>
    <s v="India"/>
    <s v="CCD IT Park"/>
    <x v="7"/>
    <x v="0"/>
    <n v="1"/>
    <n v="158"/>
    <n v="158"/>
    <x v="3"/>
  </r>
  <r>
    <s v="CCD1065"/>
    <s v="2025-12-19"/>
    <x v="4"/>
    <x v="2"/>
    <s v="India"/>
    <s v="CCD IT Park"/>
    <x v="8"/>
    <x v="2"/>
    <n v="1"/>
    <n v="245"/>
    <n v="245"/>
    <x v="2"/>
  </r>
  <r>
    <s v="CCD1066"/>
    <s v="2025-07-15"/>
    <x v="3"/>
    <x v="2"/>
    <s v="India"/>
    <s v="CCD Beach Road"/>
    <x v="6"/>
    <x v="3"/>
    <n v="1"/>
    <n v="113"/>
    <n v="113"/>
    <x v="2"/>
  </r>
  <r>
    <s v="CCD1067"/>
    <s v="2025-09-04"/>
    <x v="8"/>
    <x v="0"/>
    <s v="India"/>
    <s v="CCD MG Road"/>
    <x v="7"/>
    <x v="0"/>
    <n v="2"/>
    <n v="161"/>
    <n v="322"/>
    <x v="0"/>
  </r>
  <r>
    <s v="CCD1068"/>
    <s v="2025-07-25"/>
    <x v="3"/>
    <x v="6"/>
    <s v="India"/>
    <s v="CCD Airport"/>
    <x v="6"/>
    <x v="3"/>
    <n v="1"/>
    <n v="106"/>
    <n v="106"/>
    <x v="1"/>
  </r>
  <r>
    <s v="CCD1069"/>
    <s v="2025-11-10"/>
    <x v="11"/>
    <x v="0"/>
    <s v="India"/>
    <s v="CCD IT Park"/>
    <x v="8"/>
    <x v="2"/>
    <n v="1"/>
    <n v="245"/>
    <n v="245"/>
    <x v="0"/>
  </r>
  <r>
    <s v="CCD1070"/>
    <s v="2025-05-27"/>
    <x v="2"/>
    <x v="5"/>
    <s v="India"/>
    <s v="CCD IT Park"/>
    <x v="2"/>
    <x v="2"/>
    <n v="4"/>
    <n v="160"/>
    <n v="640"/>
    <x v="0"/>
  </r>
  <r>
    <s v="CCD1071"/>
    <s v="2025-10-20"/>
    <x v="0"/>
    <x v="2"/>
    <s v="India"/>
    <s v="CCD IT Park"/>
    <x v="8"/>
    <x v="2"/>
    <n v="2"/>
    <n v="256"/>
    <n v="512"/>
    <x v="3"/>
  </r>
  <r>
    <s v="CCD1072"/>
    <s v="2025-07-19"/>
    <x v="3"/>
    <x v="2"/>
    <s v="India"/>
    <s v="CCD Airport"/>
    <x v="3"/>
    <x v="0"/>
    <n v="3"/>
    <n v="201"/>
    <n v="603"/>
    <x v="3"/>
  </r>
  <r>
    <s v="CCD1073"/>
    <s v="2025-03-02"/>
    <x v="1"/>
    <x v="5"/>
    <s v="India"/>
    <s v="CCD MG Road"/>
    <x v="2"/>
    <x v="2"/>
    <n v="5"/>
    <n v="190"/>
    <n v="950"/>
    <x v="2"/>
  </r>
  <r>
    <s v="CCD1074"/>
    <s v="2025-02-13"/>
    <x v="5"/>
    <x v="4"/>
    <s v="India"/>
    <s v="CCD Mall"/>
    <x v="0"/>
    <x v="0"/>
    <n v="4"/>
    <n v="178"/>
    <n v="712"/>
    <x v="1"/>
  </r>
  <r>
    <s v="CCD1075"/>
    <s v="2025-04-16"/>
    <x v="7"/>
    <x v="3"/>
    <s v="India"/>
    <s v="CCD Mall"/>
    <x v="3"/>
    <x v="0"/>
    <n v="4"/>
    <n v="219"/>
    <n v="876"/>
    <x v="3"/>
  </r>
  <r>
    <s v="CCD1076"/>
    <s v="2025-07-11"/>
    <x v="3"/>
    <x v="3"/>
    <s v="India"/>
    <s v="CCD Airport"/>
    <x v="7"/>
    <x v="0"/>
    <n v="1"/>
    <n v="134"/>
    <n v="134"/>
    <x v="2"/>
  </r>
  <r>
    <s v="CCD1077"/>
    <s v="2025-04-17"/>
    <x v="7"/>
    <x v="1"/>
    <s v="India"/>
    <s v="CCD IT Park"/>
    <x v="8"/>
    <x v="2"/>
    <n v="4"/>
    <n v="240"/>
    <n v="960"/>
    <x v="1"/>
  </r>
  <r>
    <s v="CCD1078"/>
    <s v="2025-04-26"/>
    <x v="7"/>
    <x v="2"/>
    <s v="India"/>
    <s v="CCD Beach Road"/>
    <x v="3"/>
    <x v="0"/>
    <n v="2"/>
    <n v="200"/>
    <n v="400"/>
    <x v="2"/>
  </r>
  <r>
    <s v="CCD1079"/>
    <s v="2025-10-23"/>
    <x v="0"/>
    <x v="5"/>
    <s v="India"/>
    <s v="CCD Mall"/>
    <x v="7"/>
    <x v="0"/>
    <n v="1"/>
    <n v="147"/>
    <n v="147"/>
    <x v="1"/>
  </r>
  <r>
    <s v="CCD1080"/>
    <s v="2025-11-19"/>
    <x v="11"/>
    <x v="6"/>
    <s v="India"/>
    <s v="CCD MG Road"/>
    <x v="1"/>
    <x v="1"/>
    <n v="4"/>
    <n v="127"/>
    <n v="508"/>
    <x v="3"/>
  </r>
  <r>
    <s v="CCD1081"/>
    <s v="2025-04-25"/>
    <x v="7"/>
    <x v="5"/>
    <s v="India"/>
    <s v="CCD Mall"/>
    <x v="3"/>
    <x v="0"/>
    <n v="5"/>
    <n v="185"/>
    <n v="925"/>
    <x v="0"/>
  </r>
  <r>
    <s v="CCD1082"/>
    <s v="2025-03-13"/>
    <x v="1"/>
    <x v="2"/>
    <s v="India"/>
    <s v="CCD Mall"/>
    <x v="4"/>
    <x v="3"/>
    <n v="3"/>
    <n v="215"/>
    <n v="645"/>
    <x v="3"/>
  </r>
  <r>
    <s v="CCD1083"/>
    <s v="2025-11-26"/>
    <x v="11"/>
    <x v="2"/>
    <s v="India"/>
    <s v="CCD IT Park"/>
    <x v="6"/>
    <x v="3"/>
    <n v="1"/>
    <n v="114"/>
    <n v="114"/>
    <x v="1"/>
  </r>
  <r>
    <s v="CCD1084"/>
    <s v="2025-03-21"/>
    <x v="1"/>
    <x v="1"/>
    <s v="India"/>
    <s v="CCD Mall"/>
    <x v="9"/>
    <x v="1"/>
    <n v="2"/>
    <n v="147"/>
    <n v="294"/>
    <x v="2"/>
  </r>
  <r>
    <s v="CCD1085"/>
    <s v="2025-11-06"/>
    <x v="11"/>
    <x v="3"/>
    <s v="India"/>
    <s v="CCD Beach Road"/>
    <x v="3"/>
    <x v="0"/>
    <n v="3"/>
    <n v="194"/>
    <n v="582"/>
    <x v="2"/>
  </r>
  <r>
    <s v="CCD1086"/>
    <s v="2025-04-01"/>
    <x v="7"/>
    <x v="2"/>
    <s v="India"/>
    <s v="CCD Mall"/>
    <x v="1"/>
    <x v="1"/>
    <n v="3"/>
    <n v="138"/>
    <n v="414"/>
    <x v="2"/>
  </r>
  <r>
    <s v="CCD1087"/>
    <s v="2025-05-21"/>
    <x v="2"/>
    <x v="2"/>
    <s v="India"/>
    <s v="CCD Mall"/>
    <x v="1"/>
    <x v="1"/>
    <n v="2"/>
    <n v="151"/>
    <n v="302"/>
    <x v="2"/>
  </r>
  <r>
    <s v="CCD1088"/>
    <s v="2025-03-31"/>
    <x v="1"/>
    <x v="6"/>
    <s v="India"/>
    <s v="CCD Mall"/>
    <x v="3"/>
    <x v="0"/>
    <n v="1"/>
    <n v="199"/>
    <n v="199"/>
    <x v="2"/>
  </r>
  <r>
    <s v="CCD1089"/>
    <s v="2025-06-30"/>
    <x v="9"/>
    <x v="1"/>
    <s v="India"/>
    <s v="CCD MG Road"/>
    <x v="3"/>
    <x v="0"/>
    <n v="3"/>
    <n v="182"/>
    <n v="546"/>
    <x v="1"/>
  </r>
  <r>
    <s v="CCD1090"/>
    <s v="2025-01-10"/>
    <x v="10"/>
    <x v="3"/>
    <s v="India"/>
    <s v="CCD Mall"/>
    <x v="3"/>
    <x v="0"/>
    <n v="5"/>
    <n v="212"/>
    <n v="1060"/>
    <x v="2"/>
  </r>
  <r>
    <s v="CCD1091"/>
    <s v="2025-11-10"/>
    <x v="11"/>
    <x v="1"/>
    <s v="India"/>
    <s v="CCD Mall"/>
    <x v="8"/>
    <x v="2"/>
    <n v="1"/>
    <n v="247"/>
    <n v="247"/>
    <x v="0"/>
  </r>
  <r>
    <s v="CCD1092"/>
    <s v="2025-01-08"/>
    <x v="10"/>
    <x v="6"/>
    <s v="India"/>
    <s v="CCD IT Park"/>
    <x v="6"/>
    <x v="3"/>
    <n v="4"/>
    <n v="118"/>
    <n v="472"/>
    <x v="2"/>
  </r>
  <r>
    <s v="CCD1093"/>
    <s v="2025-01-03"/>
    <x v="10"/>
    <x v="4"/>
    <s v="India"/>
    <s v="CCD Mall"/>
    <x v="2"/>
    <x v="2"/>
    <n v="3"/>
    <n v="162"/>
    <n v="486"/>
    <x v="2"/>
  </r>
  <r>
    <s v="CCD1094"/>
    <s v="2025-06-30"/>
    <x v="9"/>
    <x v="0"/>
    <s v="India"/>
    <s v="CCD IT Park"/>
    <x v="6"/>
    <x v="3"/>
    <n v="4"/>
    <n v="111"/>
    <n v="444"/>
    <x v="0"/>
  </r>
  <r>
    <s v="CCD1095"/>
    <s v="2025-03-13"/>
    <x v="1"/>
    <x v="2"/>
    <s v="India"/>
    <s v="CCD Airport"/>
    <x v="9"/>
    <x v="1"/>
    <n v="1"/>
    <n v="162"/>
    <n v="162"/>
    <x v="2"/>
  </r>
  <r>
    <s v="CCD1096"/>
    <s v="2025-07-16"/>
    <x v="3"/>
    <x v="6"/>
    <s v="India"/>
    <s v="CCD Mall"/>
    <x v="9"/>
    <x v="1"/>
    <n v="4"/>
    <n v="172"/>
    <n v="688"/>
    <x v="2"/>
  </r>
  <r>
    <s v="CCD1097"/>
    <s v="2025-12-21"/>
    <x v="4"/>
    <x v="5"/>
    <s v="India"/>
    <s v="CCD Beach Road"/>
    <x v="5"/>
    <x v="0"/>
    <n v="5"/>
    <n v="198"/>
    <n v="990"/>
    <x v="2"/>
  </r>
  <r>
    <s v="CCD1098"/>
    <s v="2025-11-20"/>
    <x v="11"/>
    <x v="5"/>
    <s v="India"/>
    <s v="CCD MG Road"/>
    <x v="8"/>
    <x v="2"/>
    <n v="2"/>
    <n v="246"/>
    <n v="492"/>
    <x v="2"/>
  </r>
  <r>
    <s v="CCD1099"/>
    <s v="2025-08-24"/>
    <x v="6"/>
    <x v="1"/>
    <s v="India"/>
    <s v="CCD Beach Road"/>
    <x v="6"/>
    <x v="3"/>
    <n v="1"/>
    <n v="108"/>
    <n v="108"/>
    <x v="3"/>
  </r>
  <r>
    <s v="CCD1100"/>
    <s v="2025-07-17"/>
    <x v="3"/>
    <x v="0"/>
    <s v="India"/>
    <s v="CCD IT Park"/>
    <x v="4"/>
    <x v="3"/>
    <n v="1"/>
    <n v="227"/>
    <n v="227"/>
    <x v="3"/>
  </r>
  <r>
    <s v="CCD1101"/>
    <s v="2025-06-04"/>
    <x v="9"/>
    <x v="2"/>
    <s v="India"/>
    <s v="CCD Mall"/>
    <x v="4"/>
    <x v="3"/>
    <n v="1"/>
    <n v="202"/>
    <n v="202"/>
    <x v="0"/>
  </r>
  <r>
    <s v="CCD1102"/>
    <s v="2025-08-01"/>
    <x v="6"/>
    <x v="0"/>
    <s v="India"/>
    <s v="CCD Airport"/>
    <x v="5"/>
    <x v="0"/>
    <n v="1"/>
    <n v="218"/>
    <n v="218"/>
    <x v="2"/>
  </r>
  <r>
    <s v="CCD1103"/>
    <s v="2025-07-08"/>
    <x v="3"/>
    <x v="1"/>
    <s v="India"/>
    <s v="CCD MG Road"/>
    <x v="2"/>
    <x v="2"/>
    <n v="5"/>
    <n v="160"/>
    <n v="800"/>
    <x v="2"/>
  </r>
  <r>
    <s v="CCD1104"/>
    <s v="2025-10-29"/>
    <x v="0"/>
    <x v="1"/>
    <s v="India"/>
    <s v="CCD IT Park"/>
    <x v="8"/>
    <x v="2"/>
    <n v="1"/>
    <n v="243"/>
    <n v="243"/>
    <x v="1"/>
  </r>
  <r>
    <s v="CCD1105"/>
    <s v="2025-05-20"/>
    <x v="2"/>
    <x v="5"/>
    <s v="India"/>
    <s v="CCD Mall"/>
    <x v="1"/>
    <x v="1"/>
    <n v="5"/>
    <n v="141"/>
    <n v="705"/>
    <x v="3"/>
  </r>
  <r>
    <s v="CCD1106"/>
    <s v="2025-05-15"/>
    <x v="2"/>
    <x v="5"/>
    <s v="India"/>
    <s v="CCD Airport"/>
    <x v="1"/>
    <x v="1"/>
    <n v="1"/>
    <n v="151"/>
    <n v="151"/>
    <x v="1"/>
  </r>
  <r>
    <s v="CCD1107"/>
    <s v="2025-08-14"/>
    <x v="6"/>
    <x v="1"/>
    <s v="India"/>
    <s v="CCD Airport"/>
    <x v="1"/>
    <x v="1"/>
    <n v="2"/>
    <n v="129"/>
    <n v="258"/>
    <x v="0"/>
  </r>
  <r>
    <s v="CCD1108"/>
    <s v="2025-04-30"/>
    <x v="7"/>
    <x v="2"/>
    <s v="India"/>
    <s v="CCD Beach Road"/>
    <x v="6"/>
    <x v="3"/>
    <n v="2"/>
    <n v="135"/>
    <n v="270"/>
    <x v="1"/>
  </r>
  <r>
    <s v="CCD1109"/>
    <s v="2025-11-17"/>
    <x v="11"/>
    <x v="1"/>
    <s v="India"/>
    <s v="CCD MG Road"/>
    <x v="3"/>
    <x v="0"/>
    <n v="5"/>
    <n v="206"/>
    <n v="1030"/>
    <x v="2"/>
  </r>
  <r>
    <s v="CCD1110"/>
    <s v="2025-10-05"/>
    <x v="0"/>
    <x v="5"/>
    <s v="India"/>
    <s v="CCD Mall"/>
    <x v="0"/>
    <x v="0"/>
    <n v="3"/>
    <n v="166"/>
    <n v="498"/>
    <x v="1"/>
  </r>
  <r>
    <s v="CCD1111"/>
    <s v="2025-06-23"/>
    <x v="9"/>
    <x v="0"/>
    <s v="India"/>
    <s v="CCD Mall"/>
    <x v="8"/>
    <x v="2"/>
    <n v="1"/>
    <n v="269"/>
    <n v="269"/>
    <x v="0"/>
  </r>
  <r>
    <s v="CCD1112"/>
    <s v="2025-08-20"/>
    <x v="6"/>
    <x v="4"/>
    <s v="India"/>
    <s v="CCD IT Park"/>
    <x v="0"/>
    <x v="0"/>
    <n v="2"/>
    <n v="163"/>
    <n v="326"/>
    <x v="2"/>
  </r>
  <r>
    <s v="CCD1113"/>
    <s v="2025-01-11"/>
    <x v="10"/>
    <x v="1"/>
    <s v="India"/>
    <s v="CCD Mall"/>
    <x v="0"/>
    <x v="0"/>
    <n v="3"/>
    <n v="178"/>
    <n v="534"/>
    <x v="3"/>
  </r>
  <r>
    <s v="CCD1114"/>
    <s v="2025-11-20"/>
    <x v="11"/>
    <x v="1"/>
    <s v="India"/>
    <s v="CCD Beach Road"/>
    <x v="9"/>
    <x v="1"/>
    <n v="2"/>
    <n v="160"/>
    <n v="320"/>
    <x v="3"/>
  </r>
  <r>
    <s v="CCD1115"/>
    <s v="2025-08-25"/>
    <x v="6"/>
    <x v="4"/>
    <s v="India"/>
    <s v="CCD MG Road"/>
    <x v="0"/>
    <x v="0"/>
    <n v="1"/>
    <n v="193"/>
    <n v="193"/>
    <x v="3"/>
  </r>
  <r>
    <s v="CCD1116"/>
    <s v="2025-01-01"/>
    <x v="10"/>
    <x v="1"/>
    <s v="India"/>
    <s v="CCD Airport"/>
    <x v="5"/>
    <x v="0"/>
    <n v="4"/>
    <n v="208"/>
    <n v="832"/>
    <x v="0"/>
  </r>
  <r>
    <s v="CCD1117"/>
    <s v="2025-09-07"/>
    <x v="8"/>
    <x v="5"/>
    <s v="India"/>
    <s v="CCD Airport"/>
    <x v="1"/>
    <x v="1"/>
    <n v="5"/>
    <n v="154"/>
    <n v="770"/>
    <x v="1"/>
  </r>
  <r>
    <s v="CCD1118"/>
    <s v="2025-02-21"/>
    <x v="5"/>
    <x v="4"/>
    <s v="India"/>
    <s v="CCD MG Road"/>
    <x v="5"/>
    <x v="0"/>
    <n v="5"/>
    <n v="200"/>
    <n v="1000"/>
    <x v="0"/>
  </r>
  <r>
    <s v="CCD1119"/>
    <s v="2025-03-06"/>
    <x v="1"/>
    <x v="1"/>
    <s v="India"/>
    <s v="CCD MG Road"/>
    <x v="0"/>
    <x v="0"/>
    <n v="2"/>
    <n v="164"/>
    <n v="328"/>
    <x v="0"/>
  </r>
  <r>
    <s v="CCD1120"/>
    <s v="2025-05-14"/>
    <x v="2"/>
    <x v="1"/>
    <s v="India"/>
    <s v="CCD IT Park"/>
    <x v="9"/>
    <x v="1"/>
    <n v="1"/>
    <n v="148"/>
    <n v="148"/>
    <x v="3"/>
  </r>
  <r>
    <s v="CCD1121"/>
    <s v="2025-01-12"/>
    <x v="10"/>
    <x v="0"/>
    <s v="India"/>
    <s v="CCD Airport"/>
    <x v="2"/>
    <x v="2"/>
    <n v="4"/>
    <n v="187"/>
    <n v="748"/>
    <x v="3"/>
  </r>
  <r>
    <s v="CCD1122"/>
    <s v="2025-05-14"/>
    <x v="2"/>
    <x v="1"/>
    <s v="India"/>
    <s v="CCD MG Road"/>
    <x v="5"/>
    <x v="0"/>
    <n v="5"/>
    <n v="195"/>
    <n v="975"/>
    <x v="2"/>
  </r>
  <r>
    <s v="CCD1123"/>
    <s v="2025-01-25"/>
    <x v="10"/>
    <x v="5"/>
    <s v="India"/>
    <s v="CCD MG Road"/>
    <x v="7"/>
    <x v="0"/>
    <n v="3"/>
    <n v="150"/>
    <n v="450"/>
    <x v="1"/>
  </r>
  <r>
    <s v="CCD1124"/>
    <s v="2025-11-01"/>
    <x v="11"/>
    <x v="0"/>
    <s v="India"/>
    <s v="CCD Airport"/>
    <x v="0"/>
    <x v="0"/>
    <n v="3"/>
    <n v="200"/>
    <n v="600"/>
    <x v="2"/>
  </r>
  <r>
    <s v="CCD1125"/>
    <s v="2025-01-10"/>
    <x v="10"/>
    <x v="4"/>
    <s v="India"/>
    <s v="CCD IT Park"/>
    <x v="4"/>
    <x v="3"/>
    <n v="5"/>
    <n v="230"/>
    <n v="1150"/>
    <x v="2"/>
  </r>
  <r>
    <s v="CCD1126"/>
    <s v="2025-08-04"/>
    <x v="6"/>
    <x v="3"/>
    <s v="India"/>
    <s v="CCD Airport"/>
    <x v="0"/>
    <x v="0"/>
    <n v="2"/>
    <n v="184"/>
    <n v="368"/>
    <x v="1"/>
  </r>
  <r>
    <s v="CCD1127"/>
    <s v="2025-11-07"/>
    <x v="11"/>
    <x v="2"/>
    <s v="India"/>
    <s v="CCD Airport"/>
    <x v="7"/>
    <x v="0"/>
    <n v="3"/>
    <n v="153"/>
    <n v="459"/>
    <x v="0"/>
  </r>
  <r>
    <s v="CCD1128"/>
    <s v="2025-11-03"/>
    <x v="11"/>
    <x v="3"/>
    <s v="India"/>
    <s v="CCD Beach Road"/>
    <x v="2"/>
    <x v="2"/>
    <n v="4"/>
    <n v="165"/>
    <n v="660"/>
    <x v="2"/>
  </r>
  <r>
    <s v="CCD1129"/>
    <s v="2025-05-01"/>
    <x v="2"/>
    <x v="2"/>
    <s v="India"/>
    <s v="CCD Beach Road"/>
    <x v="6"/>
    <x v="3"/>
    <n v="4"/>
    <n v="126"/>
    <n v="504"/>
    <x v="3"/>
  </r>
  <r>
    <s v="CCD1130"/>
    <s v="2025-04-07"/>
    <x v="7"/>
    <x v="3"/>
    <s v="India"/>
    <s v="CCD MG Road"/>
    <x v="9"/>
    <x v="1"/>
    <n v="1"/>
    <n v="155"/>
    <n v="155"/>
    <x v="1"/>
  </r>
  <r>
    <s v="CCD1131"/>
    <s v="2025-09-25"/>
    <x v="8"/>
    <x v="4"/>
    <s v="India"/>
    <s v="CCD MG Road"/>
    <x v="3"/>
    <x v="0"/>
    <n v="1"/>
    <n v="206"/>
    <n v="206"/>
    <x v="2"/>
  </r>
  <r>
    <s v="CCD1132"/>
    <s v="2025-08-12"/>
    <x v="6"/>
    <x v="0"/>
    <s v="India"/>
    <s v="CCD IT Park"/>
    <x v="4"/>
    <x v="3"/>
    <n v="1"/>
    <n v="238"/>
    <n v="238"/>
    <x v="1"/>
  </r>
  <r>
    <s v="CCD1133"/>
    <s v="2025-07-28"/>
    <x v="3"/>
    <x v="2"/>
    <s v="India"/>
    <s v="CCD MG Road"/>
    <x v="7"/>
    <x v="0"/>
    <n v="1"/>
    <n v="155"/>
    <n v="155"/>
    <x v="1"/>
  </r>
  <r>
    <s v="CCD1134"/>
    <s v="2025-05-17"/>
    <x v="2"/>
    <x v="2"/>
    <s v="India"/>
    <s v="CCD MG Road"/>
    <x v="8"/>
    <x v="2"/>
    <n v="4"/>
    <n v="257"/>
    <n v="1028"/>
    <x v="3"/>
  </r>
  <r>
    <s v="CCD1135"/>
    <s v="2025-06-29"/>
    <x v="9"/>
    <x v="6"/>
    <s v="India"/>
    <s v="CCD Airport"/>
    <x v="9"/>
    <x v="1"/>
    <n v="5"/>
    <n v="156"/>
    <n v="780"/>
    <x v="3"/>
  </r>
  <r>
    <s v="CCD1136"/>
    <s v="2025-08-31"/>
    <x v="6"/>
    <x v="2"/>
    <s v="India"/>
    <s v="CCD Beach Road"/>
    <x v="6"/>
    <x v="3"/>
    <n v="4"/>
    <n v="134"/>
    <n v="536"/>
    <x v="0"/>
  </r>
  <r>
    <s v="CCD1137"/>
    <s v="2025-10-09"/>
    <x v="0"/>
    <x v="6"/>
    <s v="India"/>
    <s v="CCD Mall"/>
    <x v="3"/>
    <x v="0"/>
    <n v="4"/>
    <n v="198"/>
    <n v="792"/>
    <x v="3"/>
  </r>
  <r>
    <s v="CCD1138"/>
    <s v="2025-12-16"/>
    <x v="4"/>
    <x v="4"/>
    <s v="India"/>
    <s v="CCD Mall"/>
    <x v="8"/>
    <x v="2"/>
    <n v="3"/>
    <n v="254"/>
    <n v="762"/>
    <x v="0"/>
  </r>
  <r>
    <s v="CCD1139"/>
    <s v="2025-01-02"/>
    <x v="10"/>
    <x v="2"/>
    <s v="India"/>
    <s v="CCD IT Park"/>
    <x v="1"/>
    <x v="1"/>
    <n v="5"/>
    <n v="144"/>
    <n v="720"/>
    <x v="1"/>
  </r>
  <r>
    <s v="CCD1140"/>
    <s v="2025-03-12"/>
    <x v="1"/>
    <x v="2"/>
    <s v="India"/>
    <s v="CCD MG Road"/>
    <x v="2"/>
    <x v="2"/>
    <n v="2"/>
    <n v="172"/>
    <n v="344"/>
    <x v="1"/>
  </r>
  <r>
    <s v="CCD1141"/>
    <s v="2025-07-09"/>
    <x v="3"/>
    <x v="3"/>
    <s v="India"/>
    <s v="CCD Beach Road"/>
    <x v="3"/>
    <x v="0"/>
    <n v="2"/>
    <n v="191"/>
    <n v="382"/>
    <x v="2"/>
  </r>
  <r>
    <s v="CCD1142"/>
    <s v="2025-07-06"/>
    <x v="3"/>
    <x v="6"/>
    <s v="India"/>
    <s v="CCD Mall"/>
    <x v="9"/>
    <x v="1"/>
    <n v="1"/>
    <n v="155"/>
    <n v="155"/>
    <x v="3"/>
  </r>
  <r>
    <s v="CCD1143"/>
    <s v="2025-11-30"/>
    <x v="11"/>
    <x v="4"/>
    <s v="India"/>
    <s v="CCD Airport"/>
    <x v="0"/>
    <x v="0"/>
    <n v="5"/>
    <n v="174"/>
    <n v="870"/>
    <x v="2"/>
  </r>
  <r>
    <s v="CCD1144"/>
    <s v="2025-09-13"/>
    <x v="8"/>
    <x v="4"/>
    <s v="India"/>
    <s v="CCD MG Road"/>
    <x v="7"/>
    <x v="0"/>
    <n v="3"/>
    <n v="163"/>
    <n v="489"/>
    <x v="2"/>
  </r>
  <r>
    <s v="CCD1145"/>
    <s v="2025-10-06"/>
    <x v="0"/>
    <x v="5"/>
    <s v="India"/>
    <s v="CCD IT Park"/>
    <x v="5"/>
    <x v="0"/>
    <n v="2"/>
    <n v="191"/>
    <n v="382"/>
    <x v="3"/>
  </r>
  <r>
    <s v="CCD1146"/>
    <s v="2025-08-19"/>
    <x v="6"/>
    <x v="4"/>
    <s v="India"/>
    <s v="CCD MG Road"/>
    <x v="4"/>
    <x v="3"/>
    <n v="5"/>
    <n v="220"/>
    <n v="1100"/>
    <x v="0"/>
  </r>
  <r>
    <s v="CCD1147"/>
    <s v="2025-05-25"/>
    <x v="2"/>
    <x v="0"/>
    <s v="India"/>
    <s v="CCD Mall"/>
    <x v="0"/>
    <x v="0"/>
    <n v="5"/>
    <n v="161"/>
    <n v="805"/>
    <x v="0"/>
  </r>
  <r>
    <s v="CCD1148"/>
    <s v="2025-09-21"/>
    <x v="8"/>
    <x v="1"/>
    <s v="India"/>
    <s v="CCD IT Park"/>
    <x v="8"/>
    <x v="2"/>
    <n v="4"/>
    <n v="245"/>
    <n v="980"/>
    <x v="0"/>
  </r>
  <r>
    <s v="CCD1149"/>
    <s v="2025-11-18"/>
    <x v="11"/>
    <x v="6"/>
    <s v="India"/>
    <s v="CCD Beach Road"/>
    <x v="2"/>
    <x v="2"/>
    <n v="3"/>
    <n v="160"/>
    <n v="480"/>
    <x v="3"/>
  </r>
  <r>
    <s v="CCD1150"/>
    <s v="2025-06-22"/>
    <x v="9"/>
    <x v="6"/>
    <s v="India"/>
    <s v="CCD Beach Road"/>
    <x v="1"/>
    <x v="1"/>
    <n v="2"/>
    <n v="132"/>
    <n v="264"/>
    <x v="0"/>
  </r>
  <r>
    <s v="CCD1151"/>
    <s v="2025-10-07"/>
    <x v="0"/>
    <x v="3"/>
    <s v="India"/>
    <s v="CCD MG Road"/>
    <x v="4"/>
    <x v="3"/>
    <n v="2"/>
    <n v="202"/>
    <n v="404"/>
    <x v="0"/>
  </r>
  <r>
    <s v="CCD1152"/>
    <s v="2025-10-27"/>
    <x v="0"/>
    <x v="0"/>
    <s v="India"/>
    <s v="CCD Beach Road"/>
    <x v="3"/>
    <x v="0"/>
    <n v="3"/>
    <n v="212"/>
    <n v="636"/>
    <x v="2"/>
  </r>
  <r>
    <s v="CCD1153"/>
    <s v="2025-01-03"/>
    <x v="10"/>
    <x v="6"/>
    <s v="India"/>
    <s v="CCD Beach Road"/>
    <x v="5"/>
    <x v="0"/>
    <n v="4"/>
    <n v="220"/>
    <n v="880"/>
    <x v="1"/>
  </r>
  <r>
    <s v="CCD1154"/>
    <s v="2025-02-03"/>
    <x v="5"/>
    <x v="4"/>
    <s v="India"/>
    <s v="CCD Airport"/>
    <x v="1"/>
    <x v="1"/>
    <n v="2"/>
    <n v="130"/>
    <n v="260"/>
    <x v="1"/>
  </r>
  <r>
    <s v="CCD1155"/>
    <s v="2025-07-07"/>
    <x v="3"/>
    <x v="5"/>
    <s v="India"/>
    <s v="CCD IT Park"/>
    <x v="5"/>
    <x v="0"/>
    <n v="1"/>
    <n v="229"/>
    <n v="229"/>
    <x v="2"/>
  </r>
  <r>
    <s v="CCD1156"/>
    <s v="2025-06-03"/>
    <x v="9"/>
    <x v="3"/>
    <s v="India"/>
    <s v="CCD Airport"/>
    <x v="7"/>
    <x v="0"/>
    <n v="3"/>
    <n v="152"/>
    <n v="456"/>
    <x v="0"/>
  </r>
  <r>
    <s v="CCD1157"/>
    <s v="2025-06-18"/>
    <x v="9"/>
    <x v="4"/>
    <s v="India"/>
    <s v="CCD Beach Road"/>
    <x v="2"/>
    <x v="2"/>
    <n v="1"/>
    <n v="176"/>
    <n v="176"/>
    <x v="1"/>
  </r>
  <r>
    <s v="CCD1158"/>
    <s v="2025-12-23"/>
    <x v="4"/>
    <x v="6"/>
    <s v="India"/>
    <s v="CCD Airport"/>
    <x v="4"/>
    <x v="3"/>
    <n v="1"/>
    <n v="209"/>
    <n v="209"/>
    <x v="0"/>
  </r>
  <r>
    <s v="CCD1159"/>
    <s v="2025-09-28"/>
    <x v="8"/>
    <x v="4"/>
    <s v="India"/>
    <s v="CCD MG Road"/>
    <x v="8"/>
    <x v="2"/>
    <n v="3"/>
    <n v="244"/>
    <n v="732"/>
    <x v="1"/>
  </r>
  <r>
    <s v="CCD1160"/>
    <s v="2025-08-13"/>
    <x v="6"/>
    <x v="0"/>
    <s v="India"/>
    <s v="CCD MG Road"/>
    <x v="0"/>
    <x v="0"/>
    <n v="4"/>
    <n v="174"/>
    <n v="696"/>
    <x v="0"/>
  </r>
  <r>
    <s v="CCD1161"/>
    <s v="2025-06-30"/>
    <x v="9"/>
    <x v="1"/>
    <s v="India"/>
    <s v="CCD Mall"/>
    <x v="6"/>
    <x v="3"/>
    <n v="5"/>
    <n v="125"/>
    <n v="625"/>
    <x v="0"/>
  </r>
  <r>
    <s v="CCD1162"/>
    <s v="2025-09-20"/>
    <x v="8"/>
    <x v="2"/>
    <s v="India"/>
    <s v="CCD Mall"/>
    <x v="5"/>
    <x v="0"/>
    <n v="1"/>
    <n v="211"/>
    <n v="211"/>
    <x v="1"/>
  </r>
  <r>
    <s v="CCD1163"/>
    <s v="2025-03-13"/>
    <x v="1"/>
    <x v="5"/>
    <s v="India"/>
    <s v="CCD Mall"/>
    <x v="8"/>
    <x v="2"/>
    <n v="2"/>
    <n v="270"/>
    <n v="540"/>
    <x v="0"/>
  </r>
  <r>
    <s v="CCD1164"/>
    <s v="2025-08-26"/>
    <x v="6"/>
    <x v="6"/>
    <s v="India"/>
    <s v="CCD Airport"/>
    <x v="2"/>
    <x v="2"/>
    <n v="4"/>
    <n v="176"/>
    <n v="704"/>
    <x v="1"/>
  </r>
  <r>
    <s v="CCD1165"/>
    <s v="2025-03-21"/>
    <x v="1"/>
    <x v="6"/>
    <s v="India"/>
    <s v="CCD Mall"/>
    <x v="0"/>
    <x v="0"/>
    <n v="3"/>
    <n v="165"/>
    <n v="495"/>
    <x v="1"/>
  </r>
  <r>
    <s v="CCD1166"/>
    <s v="2025-04-30"/>
    <x v="7"/>
    <x v="0"/>
    <s v="India"/>
    <s v="CCD MG Road"/>
    <x v="2"/>
    <x v="2"/>
    <n v="5"/>
    <n v="190"/>
    <n v="950"/>
    <x v="3"/>
  </r>
  <r>
    <s v="CCD1167"/>
    <s v="2025-01-13"/>
    <x v="10"/>
    <x v="3"/>
    <s v="India"/>
    <s v="CCD Mall"/>
    <x v="9"/>
    <x v="1"/>
    <n v="1"/>
    <n v="154"/>
    <n v="154"/>
    <x v="1"/>
  </r>
  <r>
    <s v="CCD1168"/>
    <s v="2025-03-16"/>
    <x v="1"/>
    <x v="6"/>
    <s v="India"/>
    <s v="CCD Mall"/>
    <x v="8"/>
    <x v="2"/>
    <n v="4"/>
    <n v="241"/>
    <n v="964"/>
    <x v="3"/>
  </r>
  <r>
    <s v="CCD1169"/>
    <s v="2025-04-11"/>
    <x v="7"/>
    <x v="2"/>
    <s v="India"/>
    <s v="CCD MG Road"/>
    <x v="0"/>
    <x v="0"/>
    <n v="4"/>
    <n v="199"/>
    <n v="796"/>
    <x v="0"/>
  </r>
  <r>
    <s v="CCD1170"/>
    <s v="2025-06-08"/>
    <x v="9"/>
    <x v="4"/>
    <s v="India"/>
    <s v="CCD MG Road"/>
    <x v="5"/>
    <x v="0"/>
    <n v="3"/>
    <n v="221"/>
    <n v="663"/>
    <x v="1"/>
  </r>
  <r>
    <s v="CCD1171"/>
    <s v="2025-02-08"/>
    <x v="5"/>
    <x v="3"/>
    <s v="India"/>
    <s v="CCD Mall"/>
    <x v="0"/>
    <x v="0"/>
    <n v="2"/>
    <n v="169"/>
    <n v="338"/>
    <x v="2"/>
  </r>
  <r>
    <s v="CCD1172"/>
    <s v="2025-08-26"/>
    <x v="6"/>
    <x v="0"/>
    <s v="India"/>
    <s v="CCD Airport"/>
    <x v="8"/>
    <x v="2"/>
    <n v="2"/>
    <n v="265"/>
    <n v="530"/>
    <x v="3"/>
  </r>
  <r>
    <s v="CCD1173"/>
    <s v="2025-06-01"/>
    <x v="9"/>
    <x v="5"/>
    <s v="India"/>
    <s v="CCD Mall"/>
    <x v="3"/>
    <x v="0"/>
    <n v="1"/>
    <n v="186"/>
    <n v="186"/>
    <x v="1"/>
  </r>
  <r>
    <s v="CCD1174"/>
    <s v="2025-04-10"/>
    <x v="7"/>
    <x v="4"/>
    <s v="India"/>
    <s v="CCD Mall"/>
    <x v="4"/>
    <x v="3"/>
    <n v="3"/>
    <n v="221"/>
    <n v="663"/>
    <x v="1"/>
  </r>
  <r>
    <s v="CCD1175"/>
    <s v="2025-02-23"/>
    <x v="5"/>
    <x v="5"/>
    <s v="India"/>
    <s v="CCD IT Park"/>
    <x v="2"/>
    <x v="2"/>
    <n v="3"/>
    <n v="158"/>
    <n v="474"/>
    <x v="2"/>
  </r>
  <r>
    <s v="CCD1176"/>
    <s v="2025-07-05"/>
    <x v="3"/>
    <x v="0"/>
    <s v="India"/>
    <s v="CCD Airport"/>
    <x v="3"/>
    <x v="0"/>
    <n v="5"/>
    <n v="203"/>
    <n v="1015"/>
    <x v="0"/>
  </r>
  <r>
    <s v="CCD1177"/>
    <s v="2025-10-31"/>
    <x v="0"/>
    <x v="0"/>
    <s v="India"/>
    <s v="CCD Airport"/>
    <x v="8"/>
    <x v="2"/>
    <n v="3"/>
    <n v="243"/>
    <n v="729"/>
    <x v="2"/>
  </r>
  <r>
    <s v="CCD1178"/>
    <s v="2025-01-06"/>
    <x v="10"/>
    <x v="0"/>
    <s v="India"/>
    <s v="CCD Beach Road"/>
    <x v="3"/>
    <x v="0"/>
    <n v="3"/>
    <n v="195"/>
    <n v="585"/>
    <x v="0"/>
  </r>
  <r>
    <s v="CCD1179"/>
    <s v="2025-10-05"/>
    <x v="0"/>
    <x v="5"/>
    <s v="India"/>
    <s v="CCD Beach Road"/>
    <x v="0"/>
    <x v="0"/>
    <n v="1"/>
    <n v="176"/>
    <n v="176"/>
    <x v="2"/>
  </r>
  <r>
    <s v="CCD1180"/>
    <s v="2025-01-22"/>
    <x v="10"/>
    <x v="1"/>
    <s v="India"/>
    <s v="CCD Beach Road"/>
    <x v="8"/>
    <x v="2"/>
    <n v="4"/>
    <n v="256"/>
    <n v="1024"/>
    <x v="3"/>
  </r>
  <r>
    <s v="CCD1181"/>
    <s v="2025-02-07"/>
    <x v="5"/>
    <x v="3"/>
    <s v="India"/>
    <s v="CCD MG Road"/>
    <x v="9"/>
    <x v="1"/>
    <n v="4"/>
    <n v="178"/>
    <n v="712"/>
    <x v="0"/>
  </r>
  <r>
    <s v="CCD1182"/>
    <s v="2025-01-10"/>
    <x v="10"/>
    <x v="6"/>
    <s v="India"/>
    <s v="CCD IT Park"/>
    <x v="9"/>
    <x v="1"/>
    <n v="3"/>
    <n v="149"/>
    <n v="447"/>
    <x v="0"/>
  </r>
  <r>
    <s v="CCD1183"/>
    <s v="2025-04-22"/>
    <x v="7"/>
    <x v="2"/>
    <s v="India"/>
    <s v="CCD IT Park"/>
    <x v="4"/>
    <x v="3"/>
    <n v="3"/>
    <n v="231"/>
    <n v="693"/>
    <x v="0"/>
  </r>
  <r>
    <s v="CCD1184"/>
    <s v="2025-06-09"/>
    <x v="9"/>
    <x v="5"/>
    <s v="India"/>
    <s v="CCD IT Park"/>
    <x v="9"/>
    <x v="1"/>
    <n v="1"/>
    <n v="180"/>
    <n v="180"/>
    <x v="2"/>
  </r>
  <r>
    <s v="CCD1185"/>
    <s v="2025-02-28"/>
    <x v="5"/>
    <x v="1"/>
    <s v="India"/>
    <s v="CCD Mall"/>
    <x v="6"/>
    <x v="3"/>
    <n v="3"/>
    <n v="138"/>
    <n v="414"/>
    <x v="3"/>
  </r>
  <r>
    <s v="CCD1186"/>
    <s v="2025-02-05"/>
    <x v="5"/>
    <x v="3"/>
    <s v="India"/>
    <s v="CCD Beach Road"/>
    <x v="5"/>
    <x v="0"/>
    <n v="1"/>
    <n v="194"/>
    <n v="194"/>
    <x v="2"/>
  </r>
  <r>
    <s v="CCD1187"/>
    <s v="2025-10-24"/>
    <x v="0"/>
    <x v="5"/>
    <s v="India"/>
    <s v="CCD Mall"/>
    <x v="7"/>
    <x v="0"/>
    <n v="5"/>
    <n v="143"/>
    <n v="715"/>
    <x v="2"/>
  </r>
  <r>
    <s v="CCD1188"/>
    <s v="2025-05-14"/>
    <x v="2"/>
    <x v="4"/>
    <s v="India"/>
    <s v="CCD Airport"/>
    <x v="8"/>
    <x v="2"/>
    <n v="5"/>
    <n v="237"/>
    <n v="1185"/>
    <x v="0"/>
  </r>
  <r>
    <s v="CCD1189"/>
    <s v="2025-03-22"/>
    <x v="1"/>
    <x v="5"/>
    <s v="India"/>
    <s v="CCD Beach Road"/>
    <x v="4"/>
    <x v="3"/>
    <n v="4"/>
    <n v="235"/>
    <n v="940"/>
    <x v="0"/>
  </r>
  <r>
    <s v="CCD1190"/>
    <s v="2025-08-25"/>
    <x v="6"/>
    <x v="5"/>
    <s v="India"/>
    <s v="CCD Airport"/>
    <x v="1"/>
    <x v="1"/>
    <n v="5"/>
    <n v="157"/>
    <n v="785"/>
    <x v="1"/>
  </r>
  <r>
    <s v="CCD1191"/>
    <s v="2025-03-09"/>
    <x v="1"/>
    <x v="3"/>
    <s v="India"/>
    <s v="CCD Beach Road"/>
    <x v="1"/>
    <x v="1"/>
    <n v="3"/>
    <n v="147"/>
    <n v="441"/>
    <x v="2"/>
  </r>
  <r>
    <s v="CCD1192"/>
    <s v="2025-03-02"/>
    <x v="1"/>
    <x v="4"/>
    <s v="India"/>
    <s v="CCD MG Road"/>
    <x v="5"/>
    <x v="0"/>
    <n v="3"/>
    <n v="211"/>
    <n v="633"/>
    <x v="0"/>
  </r>
  <r>
    <s v="CCD1193"/>
    <s v="2025-02-15"/>
    <x v="5"/>
    <x v="3"/>
    <s v="India"/>
    <s v="CCD Mall"/>
    <x v="9"/>
    <x v="1"/>
    <n v="4"/>
    <n v="157"/>
    <n v="628"/>
    <x v="2"/>
  </r>
  <r>
    <s v="CCD1194"/>
    <s v="2025-01-15"/>
    <x v="10"/>
    <x v="5"/>
    <s v="India"/>
    <s v="CCD Beach Road"/>
    <x v="3"/>
    <x v="0"/>
    <n v="3"/>
    <n v="211"/>
    <n v="633"/>
    <x v="0"/>
  </r>
  <r>
    <s v="CCD1195"/>
    <s v="2025-11-26"/>
    <x v="11"/>
    <x v="4"/>
    <s v="India"/>
    <s v="CCD Beach Road"/>
    <x v="1"/>
    <x v="1"/>
    <n v="3"/>
    <n v="120"/>
    <n v="360"/>
    <x v="0"/>
  </r>
  <r>
    <s v="CCD1196"/>
    <s v="2025-03-29"/>
    <x v="1"/>
    <x v="2"/>
    <s v="India"/>
    <s v="CCD MG Road"/>
    <x v="2"/>
    <x v="2"/>
    <n v="2"/>
    <n v="156"/>
    <n v="312"/>
    <x v="2"/>
  </r>
  <r>
    <s v="CCD1197"/>
    <s v="2025-09-11"/>
    <x v="8"/>
    <x v="2"/>
    <s v="India"/>
    <s v="CCD MG Road"/>
    <x v="1"/>
    <x v="1"/>
    <n v="4"/>
    <n v="121"/>
    <n v="484"/>
    <x v="2"/>
  </r>
  <r>
    <s v="CCD1198"/>
    <s v="2025-12-22"/>
    <x v="4"/>
    <x v="5"/>
    <s v="India"/>
    <s v="CCD IT Park"/>
    <x v="1"/>
    <x v="1"/>
    <n v="4"/>
    <n v="142"/>
    <n v="568"/>
    <x v="2"/>
  </r>
  <r>
    <s v="CCD1199"/>
    <s v="2025-12-20"/>
    <x v="4"/>
    <x v="3"/>
    <s v="India"/>
    <s v="CCD Airport"/>
    <x v="9"/>
    <x v="1"/>
    <n v="2"/>
    <n v="165"/>
    <n v="330"/>
    <x v="2"/>
  </r>
  <r>
    <s v="CCD1200"/>
    <s v="2025-03-02"/>
    <x v="1"/>
    <x v="1"/>
    <s v="India"/>
    <s v="CCD Airport"/>
    <x v="1"/>
    <x v="1"/>
    <n v="2"/>
    <n v="149"/>
    <n v="298"/>
    <x v="1"/>
  </r>
  <r>
    <s v="CCD1201"/>
    <s v="2025-11-23"/>
    <x v="11"/>
    <x v="2"/>
    <s v="India"/>
    <s v="CCD MG Road"/>
    <x v="5"/>
    <x v="0"/>
    <n v="3"/>
    <n v="224"/>
    <n v="672"/>
    <x v="3"/>
  </r>
  <r>
    <s v="CCD1202"/>
    <s v="2025-06-16"/>
    <x v="9"/>
    <x v="2"/>
    <s v="India"/>
    <s v="CCD Beach Road"/>
    <x v="0"/>
    <x v="0"/>
    <n v="4"/>
    <n v="189"/>
    <n v="756"/>
    <x v="1"/>
  </r>
  <r>
    <s v="CCD1203"/>
    <s v="2025-01-09"/>
    <x v="10"/>
    <x v="2"/>
    <s v="India"/>
    <s v="CCD IT Park"/>
    <x v="0"/>
    <x v="0"/>
    <n v="3"/>
    <n v="166"/>
    <n v="498"/>
    <x v="2"/>
  </r>
  <r>
    <s v="CCD1204"/>
    <s v="2025-02-06"/>
    <x v="5"/>
    <x v="1"/>
    <s v="India"/>
    <s v="CCD Mall"/>
    <x v="8"/>
    <x v="2"/>
    <n v="2"/>
    <n v="248"/>
    <n v="496"/>
    <x v="0"/>
  </r>
  <r>
    <s v="CCD1205"/>
    <s v="2025-01-17"/>
    <x v="10"/>
    <x v="2"/>
    <s v="India"/>
    <s v="CCD Airport"/>
    <x v="9"/>
    <x v="1"/>
    <n v="1"/>
    <n v="166"/>
    <n v="166"/>
    <x v="0"/>
  </r>
  <r>
    <s v="CCD1206"/>
    <s v="2025-05-01"/>
    <x v="2"/>
    <x v="6"/>
    <s v="India"/>
    <s v="CCD IT Park"/>
    <x v="1"/>
    <x v="1"/>
    <n v="1"/>
    <n v="146"/>
    <n v="146"/>
    <x v="2"/>
  </r>
  <r>
    <s v="CCD1207"/>
    <s v="2025-11-17"/>
    <x v="11"/>
    <x v="5"/>
    <s v="India"/>
    <s v="CCD MG Road"/>
    <x v="0"/>
    <x v="0"/>
    <n v="2"/>
    <n v="188"/>
    <n v="376"/>
    <x v="2"/>
  </r>
  <r>
    <s v="CCD1208"/>
    <s v="2025-10-29"/>
    <x v="0"/>
    <x v="6"/>
    <s v="India"/>
    <s v="CCD Mall"/>
    <x v="5"/>
    <x v="0"/>
    <n v="5"/>
    <n v="221"/>
    <n v="1105"/>
    <x v="0"/>
  </r>
  <r>
    <s v="CCD1209"/>
    <s v="2025-10-01"/>
    <x v="0"/>
    <x v="2"/>
    <s v="India"/>
    <s v="CCD IT Park"/>
    <x v="5"/>
    <x v="0"/>
    <n v="5"/>
    <n v="193"/>
    <n v="965"/>
    <x v="3"/>
  </r>
  <r>
    <s v="CCD1210"/>
    <s v="2025-10-29"/>
    <x v="0"/>
    <x v="5"/>
    <s v="India"/>
    <s v="CCD MG Road"/>
    <x v="6"/>
    <x v="3"/>
    <n v="2"/>
    <n v="125"/>
    <n v="250"/>
    <x v="1"/>
  </r>
  <r>
    <s v="CCD1211"/>
    <s v="2025-02-05"/>
    <x v="5"/>
    <x v="0"/>
    <s v="India"/>
    <s v="CCD Airport"/>
    <x v="2"/>
    <x v="2"/>
    <n v="5"/>
    <n v="163"/>
    <n v="815"/>
    <x v="2"/>
  </r>
  <r>
    <s v="CCD1212"/>
    <s v="2025-05-17"/>
    <x v="2"/>
    <x v="3"/>
    <s v="India"/>
    <s v="CCD Beach Road"/>
    <x v="9"/>
    <x v="1"/>
    <n v="1"/>
    <n v="146"/>
    <n v="146"/>
    <x v="0"/>
  </r>
  <r>
    <s v="CCD1213"/>
    <s v="2025-06-16"/>
    <x v="9"/>
    <x v="3"/>
    <s v="India"/>
    <s v="CCD Airport"/>
    <x v="5"/>
    <x v="0"/>
    <n v="3"/>
    <n v="193"/>
    <n v="579"/>
    <x v="0"/>
  </r>
  <r>
    <s v="CCD1214"/>
    <s v="2025-06-07"/>
    <x v="9"/>
    <x v="1"/>
    <s v="India"/>
    <s v="CCD IT Park"/>
    <x v="2"/>
    <x v="2"/>
    <n v="4"/>
    <n v="163"/>
    <n v="652"/>
    <x v="3"/>
  </r>
  <r>
    <s v="CCD1215"/>
    <s v="2025-02-14"/>
    <x v="5"/>
    <x v="5"/>
    <s v="India"/>
    <s v="CCD Beach Road"/>
    <x v="8"/>
    <x v="2"/>
    <n v="5"/>
    <n v="231"/>
    <n v="1155"/>
    <x v="0"/>
  </r>
  <r>
    <s v="CCD1216"/>
    <s v="2025-05-30"/>
    <x v="2"/>
    <x v="1"/>
    <s v="India"/>
    <s v="CCD Beach Road"/>
    <x v="4"/>
    <x v="3"/>
    <n v="2"/>
    <n v="238"/>
    <n v="476"/>
    <x v="3"/>
  </r>
  <r>
    <s v="CCD1217"/>
    <s v="2025-08-04"/>
    <x v="6"/>
    <x v="1"/>
    <s v="India"/>
    <s v="CCD IT Park"/>
    <x v="1"/>
    <x v="1"/>
    <n v="3"/>
    <n v="126"/>
    <n v="378"/>
    <x v="2"/>
  </r>
  <r>
    <s v="CCD1218"/>
    <s v="2025-09-29"/>
    <x v="8"/>
    <x v="6"/>
    <s v="India"/>
    <s v="CCD Mall"/>
    <x v="6"/>
    <x v="3"/>
    <n v="2"/>
    <n v="119"/>
    <n v="238"/>
    <x v="0"/>
  </r>
  <r>
    <s v="CCD1219"/>
    <s v="2025-11-05"/>
    <x v="11"/>
    <x v="5"/>
    <s v="India"/>
    <s v="CCD IT Park"/>
    <x v="5"/>
    <x v="0"/>
    <n v="1"/>
    <n v="191"/>
    <n v="191"/>
    <x v="2"/>
  </r>
  <r>
    <s v="CCD1220"/>
    <s v="2025-08-04"/>
    <x v="6"/>
    <x v="4"/>
    <s v="India"/>
    <s v="CCD IT Park"/>
    <x v="1"/>
    <x v="1"/>
    <n v="3"/>
    <n v="147"/>
    <n v="441"/>
    <x v="1"/>
  </r>
  <r>
    <s v="CCD1221"/>
    <s v="2025-05-28"/>
    <x v="2"/>
    <x v="0"/>
    <s v="India"/>
    <s v="CCD Mall"/>
    <x v="2"/>
    <x v="2"/>
    <n v="4"/>
    <n v="178"/>
    <n v="712"/>
    <x v="2"/>
  </r>
  <r>
    <s v="CCD1222"/>
    <s v="2025-08-17"/>
    <x v="6"/>
    <x v="4"/>
    <s v="India"/>
    <s v="CCD Mall"/>
    <x v="8"/>
    <x v="2"/>
    <n v="3"/>
    <n v="255"/>
    <n v="765"/>
    <x v="3"/>
  </r>
  <r>
    <s v="CCD1223"/>
    <s v="2025-06-29"/>
    <x v="9"/>
    <x v="2"/>
    <s v="India"/>
    <s v="CCD MG Road"/>
    <x v="4"/>
    <x v="3"/>
    <n v="3"/>
    <n v="231"/>
    <n v="693"/>
    <x v="3"/>
  </r>
  <r>
    <s v="CCD1224"/>
    <s v="2025-05-12"/>
    <x v="2"/>
    <x v="4"/>
    <s v="India"/>
    <s v="CCD Beach Road"/>
    <x v="2"/>
    <x v="2"/>
    <n v="4"/>
    <n v="150"/>
    <n v="600"/>
    <x v="2"/>
  </r>
  <r>
    <s v="CCD1225"/>
    <s v="2025-07-01"/>
    <x v="3"/>
    <x v="2"/>
    <s v="India"/>
    <s v="CCD MG Road"/>
    <x v="9"/>
    <x v="1"/>
    <n v="2"/>
    <n v="154"/>
    <n v="308"/>
    <x v="1"/>
  </r>
  <r>
    <s v="CCD1226"/>
    <s v="2025-02-04"/>
    <x v="5"/>
    <x v="2"/>
    <s v="India"/>
    <s v="CCD Mall"/>
    <x v="9"/>
    <x v="1"/>
    <n v="2"/>
    <n v="144"/>
    <n v="288"/>
    <x v="2"/>
  </r>
  <r>
    <s v="CCD1227"/>
    <s v="2025-03-23"/>
    <x v="1"/>
    <x v="0"/>
    <s v="India"/>
    <s v="CCD Beach Road"/>
    <x v="7"/>
    <x v="0"/>
    <n v="4"/>
    <n v="131"/>
    <n v="524"/>
    <x v="2"/>
  </r>
  <r>
    <s v="CCD1228"/>
    <s v="2025-10-30"/>
    <x v="0"/>
    <x v="1"/>
    <s v="India"/>
    <s v="CCD Mall"/>
    <x v="3"/>
    <x v="0"/>
    <n v="2"/>
    <n v="191"/>
    <n v="382"/>
    <x v="3"/>
  </r>
  <r>
    <s v="CCD1229"/>
    <s v="2025-01-11"/>
    <x v="10"/>
    <x v="0"/>
    <s v="India"/>
    <s v="CCD MG Road"/>
    <x v="0"/>
    <x v="0"/>
    <n v="5"/>
    <n v="200"/>
    <n v="1000"/>
    <x v="3"/>
  </r>
  <r>
    <s v="CCD1230"/>
    <s v="2025-06-17"/>
    <x v="9"/>
    <x v="4"/>
    <s v="India"/>
    <s v="CCD Airport"/>
    <x v="7"/>
    <x v="0"/>
    <n v="4"/>
    <n v="158"/>
    <n v="632"/>
    <x v="3"/>
  </r>
  <r>
    <s v="CCD1231"/>
    <s v="2025-03-31"/>
    <x v="1"/>
    <x v="5"/>
    <s v="India"/>
    <s v="CCD IT Park"/>
    <x v="2"/>
    <x v="2"/>
    <n v="3"/>
    <n v="188"/>
    <n v="564"/>
    <x v="0"/>
  </r>
  <r>
    <s v="CCD1232"/>
    <s v="2025-08-11"/>
    <x v="6"/>
    <x v="3"/>
    <s v="India"/>
    <s v="CCD Beach Road"/>
    <x v="6"/>
    <x v="3"/>
    <n v="5"/>
    <n v="107"/>
    <n v="535"/>
    <x v="2"/>
  </r>
  <r>
    <s v="CCD1233"/>
    <s v="2025-07-04"/>
    <x v="3"/>
    <x v="1"/>
    <s v="India"/>
    <s v="CCD Mall"/>
    <x v="2"/>
    <x v="2"/>
    <n v="2"/>
    <n v="151"/>
    <n v="302"/>
    <x v="3"/>
  </r>
  <r>
    <s v="CCD1234"/>
    <s v="2025-03-29"/>
    <x v="1"/>
    <x v="2"/>
    <s v="India"/>
    <s v="CCD Airport"/>
    <x v="9"/>
    <x v="1"/>
    <n v="1"/>
    <n v="176"/>
    <n v="176"/>
    <x v="1"/>
  </r>
  <r>
    <s v="CCD1235"/>
    <s v="2025-10-20"/>
    <x v="0"/>
    <x v="5"/>
    <s v="India"/>
    <s v="CCD Beach Road"/>
    <x v="6"/>
    <x v="3"/>
    <n v="2"/>
    <n v="107"/>
    <n v="214"/>
    <x v="1"/>
  </r>
  <r>
    <s v="CCD1236"/>
    <s v="2025-10-26"/>
    <x v="0"/>
    <x v="6"/>
    <s v="India"/>
    <s v="CCD Airport"/>
    <x v="3"/>
    <x v="0"/>
    <n v="5"/>
    <n v="215"/>
    <n v="1075"/>
    <x v="3"/>
  </r>
  <r>
    <s v="CCD1237"/>
    <s v="2025-12-26"/>
    <x v="4"/>
    <x v="4"/>
    <s v="India"/>
    <s v="CCD MG Road"/>
    <x v="4"/>
    <x v="3"/>
    <n v="1"/>
    <n v="209"/>
    <n v="209"/>
    <x v="0"/>
  </r>
  <r>
    <s v="CCD1238"/>
    <s v="2025-10-13"/>
    <x v="0"/>
    <x v="5"/>
    <s v="India"/>
    <s v="CCD Beach Road"/>
    <x v="7"/>
    <x v="0"/>
    <n v="3"/>
    <n v="158"/>
    <n v="474"/>
    <x v="3"/>
  </r>
  <r>
    <s v="CCD1239"/>
    <s v="2025-09-26"/>
    <x v="8"/>
    <x v="5"/>
    <s v="India"/>
    <s v="CCD Beach Road"/>
    <x v="5"/>
    <x v="0"/>
    <n v="5"/>
    <n v="222"/>
    <n v="1110"/>
    <x v="3"/>
  </r>
  <r>
    <s v="CCD1240"/>
    <s v="2025-05-20"/>
    <x v="2"/>
    <x v="0"/>
    <s v="India"/>
    <s v="CCD MG Road"/>
    <x v="3"/>
    <x v="0"/>
    <n v="5"/>
    <n v="215"/>
    <n v="1075"/>
    <x v="1"/>
  </r>
  <r>
    <s v="CCD1241"/>
    <s v="2025-01-19"/>
    <x v="10"/>
    <x v="2"/>
    <s v="India"/>
    <s v="CCD Mall"/>
    <x v="8"/>
    <x v="2"/>
    <n v="3"/>
    <n v="237"/>
    <n v="711"/>
    <x v="1"/>
  </r>
  <r>
    <s v="CCD1242"/>
    <s v="2025-11-10"/>
    <x v="11"/>
    <x v="2"/>
    <s v="India"/>
    <s v="CCD Mall"/>
    <x v="1"/>
    <x v="1"/>
    <n v="4"/>
    <n v="122"/>
    <n v="488"/>
    <x v="1"/>
  </r>
  <r>
    <s v="CCD1243"/>
    <s v="2025-10-02"/>
    <x v="0"/>
    <x v="4"/>
    <s v="India"/>
    <s v="CCD Mall"/>
    <x v="2"/>
    <x v="2"/>
    <n v="2"/>
    <n v="169"/>
    <n v="338"/>
    <x v="1"/>
  </r>
  <r>
    <s v="CCD1244"/>
    <s v="2025-06-06"/>
    <x v="9"/>
    <x v="0"/>
    <s v="India"/>
    <s v="CCD MG Road"/>
    <x v="4"/>
    <x v="3"/>
    <n v="1"/>
    <n v="216"/>
    <n v="216"/>
    <x v="3"/>
  </r>
  <r>
    <s v="CCD1245"/>
    <s v="2025-12-05"/>
    <x v="4"/>
    <x v="0"/>
    <s v="India"/>
    <s v="CCD IT Park"/>
    <x v="4"/>
    <x v="3"/>
    <n v="5"/>
    <n v="218"/>
    <n v="1090"/>
    <x v="1"/>
  </r>
  <r>
    <s v="CCD1246"/>
    <s v="2025-07-22"/>
    <x v="3"/>
    <x v="1"/>
    <s v="India"/>
    <s v="CCD Airport"/>
    <x v="9"/>
    <x v="1"/>
    <n v="5"/>
    <n v="148"/>
    <n v="740"/>
    <x v="1"/>
  </r>
  <r>
    <s v="CCD1247"/>
    <s v="2025-12-26"/>
    <x v="4"/>
    <x v="4"/>
    <s v="India"/>
    <s v="CCD IT Park"/>
    <x v="9"/>
    <x v="1"/>
    <n v="2"/>
    <n v="145"/>
    <n v="290"/>
    <x v="1"/>
  </r>
  <r>
    <s v="CCD1248"/>
    <s v="2025-12-31"/>
    <x v="4"/>
    <x v="2"/>
    <s v="India"/>
    <s v="CCD IT Park"/>
    <x v="4"/>
    <x v="3"/>
    <n v="1"/>
    <n v="204"/>
    <n v="204"/>
    <x v="2"/>
  </r>
  <r>
    <s v="CCD1249"/>
    <s v="2025-09-03"/>
    <x v="8"/>
    <x v="4"/>
    <s v="India"/>
    <s v="CCD Airport"/>
    <x v="3"/>
    <x v="0"/>
    <n v="1"/>
    <n v="216"/>
    <n v="216"/>
    <x v="3"/>
  </r>
  <r>
    <s v="CCD1250"/>
    <s v="2025-12-15"/>
    <x v="4"/>
    <x v="4"/>
    <s v="India"/>
    <s v="CCD Beach Road"/>
    <x v="1"/>
    <x v="1"/>
    <n v="4"/>
    <n v="143"/>
    <n v="572"/>
    <x v="3"/>
  </r>
  <r>
    <s v="CCD1251"/>
    <s v="2025-03-24"/>
    <x v="1"/>
    <x v="6"/>
    <s v="India"/>
    <s v="CCD Airport"/>
    <x v="2"/>
    <x v="2"/>
    <n v="5"/>
    <n v="189"/>
    <n v="945"/>
    <x v="1"/>
  </r>
  <r>
    <s v="CCD1252"/>
    <s v="2025-04-07"/>
    <x v="7"/>
    <x v="4"/>
    <s v="India"/>
    <s v="CCD Beach Road"/>
    <x v="0"/>
    <x v="0"/>
    <n v="4"/>
    <n v="180"/>
    <n v="720"/>
    <x v="3"/>
  </r>
  <r>
    <s v="CCD1253"/>
    <s v="2025-07-09"/>
    <x v="3"/>
    <x v="0"/>
    <s v="India"/>
    <s v="CCD Beach Road"/>
    <x v="7"/>
    <x v="0"/>
    <n v="2"/>
    <n v="136"/>
    <n v="272"/>
    <x v="2"/>
  </r>
  <r>
    <s v="CCD1254"/>
    <s v="2025-03-10"/>
    <x v="1"/>
    <x v="2"/>
    <s v="India"/>
    <s v="CCD Mall"/>
    <x v="3"/>
    <x v="0"/>
    <n v="3"/>
    <n v="215"/>
    <n v="645"/>
    <x v="2"/>
  </r>
  <r>
    <s v="CCD1255"/>
    <s v="2025-06-30"/>
    <x v="9"/>
    <x v="0"/>
    <s v="India"/>
    <s v="CCD MG Road"/>
    <x v="6"/>
    <x v="3"/>
    <n v="3"/>
    <n v="138"/>
    <n v="414"/>
    <x v="1"/>
  </r>
  <r>
    <s v="CCD1256"/>
    <s v="2025-10-13"/>
    <x v="0"/>
    <x v="6"/>
    <s v="India"/>
    <s v="CCD Mall"/>
    <x v="0"/>
    <x v="0"/>
    <n v="1"/>
    <n v="179"/>
    <n v="179"/>
    <x v="2"/>
  </r>
  <r>
    <s v="CCD1257"/>
    <s v="2025-10-17"/>
    <x v="0"/>
    <x v="5"/>
    <s v="India"/>
    <s v="CCD Beach Road"/>
    <x v="8"/>
    <x v="2"/>
    <n v="2"/>
    <n v="235"/>
    <n v="470"/>
    <x v="1"/>
  </r>
  <r>
    <s v="CCD1258"/>
    <s v="2025-10-30"/>
    <x v="0"/>
    <x v="1"/>
    <s v="India"/>
    <s v="CCD Beach Road"/>
    <x v="4"/>
    <x v="3"/>
    <n v="3"/>
    <n v="225"/>
    <n v="675"/>
    <x v="1"/>
  </r>
  <r>
    <s v="CCD1259"/>
    <s v="2025-01-15"/>
    <x v="10"/>
    <x v="2"/>
    <s v="India"/>
    <s v="CCD Airport"/>
    <x v="4"/>
    <x v="3"/>
    <n v="1"/>
    <n v="238"/>
    <n v="238"/>
    <x v="3"/>
  </r>
  <r>
    <s v="CCD1260"/>
    <s v="2025-09-20"/>
    <x v="8"/>
    <x v="6"/>
    <s v="India"/>
    <s v="CCD Beach Road"/>
    <x v="6"/>
    <x v="3"/>
    <n v="2"/>
    <n v="132"/>
    <n v="264"/>
    <x v="0"/>
  </r>
  <r>
    <s v="CCD1261"/>
    <s v="2025-03-01"/>
    <x v="1"/>
    <x v="0"/>
    <s v="India"/>
    <s v="CCD Airport"/>
    <x v="7"/>
    <x v="0"/>
    <n v="2"/>
    <n v="167"/>
    <n v="334"/>
    <x v="1"/>
  </r>
  <r>
    <s v="CCD1262"/>
    <s v="2025-04-25"/>
    <x v="7"/>
    <x v="0"/>
    <s v="India"/>
    <s v="CCD MG Road"/>
    <x v="4"/>
    <x v="3"/>
    <n v="5"/>
    <n v="205"/>
    <n v="1025"/>
    <x v="1"/>
  </r>
  <r>
    <s v="CCD1263"/>
    <s v="2025-01-11"/>
    <x v="10"/>
    <x v="0"/>
    <s v="India"/>
    <s v="CCD MG Road"/>
    <x v="6"/>
    <x v="3"/>
    <n v="3"/>
    <n v="121"/>
    <n v="363"/>
    <x v="3"/>
  </r>
  <r>
    <s v="CCD1264"/>
    <s v="2025-05-04"/>
    <x v="2"/>
    <x v="6"/>
    <s v="India"/>
    <s v="CCD IT Park"/>
    <x v="9"/>
    <x v="1"/>
    <n v="2"/>
    <n v="172"/>
    <n v="344"/>
    <x v="0"/>
  </r>
  <r>
    <s v="CCD1265"/>
    <s v="2025-10-28"/>
    <x v="0"/>
    <x v="0"/>
    <s v="India"/>
    <s v="CCD Mall"/>
    <x v="4"/>
    <x v="3"/>
    <n v="2"/>
    <n v="218"/>
    <n v="436"/>
    <x v="2"/>
  </r>
  <r>
    <s v="CCD1266"/>
    <s v="2025-07-11"/>
    <x v="3"/>
    <x v="2"/>
    <s v="India"/>
    <s v="CCD Beach Road"/>
    <x v="7"/>
    <x v="0"/>
    <n v="1"/>
    <n v="133"/>
    <n v="133"/>
    <x v="1"/>
  </r>
  <r>
    <s v="CCD1267"/>
    <s v="2025-02-09"/>
    <x v="5"/>
    <x v="3"/>
    <s v="India"/>
    <s v="CCD Mall"/>
    <x v="4"/>
    <x v="3"/>
    <n v="3"/>
    <n v="211"/>
    <n v="633"/>
    <x v="3"/>
  </r>
  <r>
    <s v="CCD1268"/>
    <s v="2025-03-03"/>
    <x v="1"/>
    <x v="3"/>
    <s v="India"/>
    <s v="CCD IT Park"/>
    <x v="9"/>
    <x v="1"/>
    <n v="5"/>
    <n v="170"/>
    <n v="850"/>
    <x v="0"/>
  </r>
  <r>
    <s v="CCD1269"/>
    <s v="2025-12-31"/>
    <x v="4"/>
    <x v="1"/>
    <s v="India"/>
    <s v="CCD IT Park"/>
    <x v="0"/>
    <x v="0"/>
    <n v="3"/>
    <n v="194"/>
    <n v="582"/>
    <x v="3"/>
  </r>
  <r>
    <s v="CCD1270"/>
    <s v="2025-03-29"/>
    <x v="1"/>
    <x v="4"/>
    <s v="India"/>
    <s v="CCD MG Road"/>
    <x v="5"/>
    <x v="0"/>
    <n v="3"/>
    <n v="229"/>
    <n v="687"/>
    <x v="2"/>
  </r>
  <r>
    <s v="CCD1271"/>
    <s v="2025-12-12"/>
    <x v="4"/>
    <x v="4"/>
    <s v="India"/>
    <s v="CCD Beach Road"/>
    <x v="7"/>
    <x v="0"/>
    <n v="5"/>
    <n v="153"/>
    <n v="765"/>
    <x v="1"/>
  </r>
  <r>
    <s v="CCD1272"/>
    <s v="2025-06-01"/>
    <x v="9"/>
    <x v="2"/>
    <s v="India"/>
    <s v="CCD Mall"/>
    <x v="1"/>
    <x v="1"/>
    <n v="4"/>
    <n v="142"/>
    <n v="568"/>
    <x v="3"/>
  </r>
  <r>
    <s v="CCD1273"/>
    <s v="2025-04-24"/>
    <x v="7"/>
    <x v="5"/>
    <s v="India"/>
    <s v="CCD Mall"/>
    <x v="7"/>
    <x v="0"/>
    <n v="5"/>
    <n v="153"/>
    <n v="765"/>
    <x v="1"/>
  </r>
  <r>
    <s v="CCD1274"/>
    <s v="2025-11-20"/>
    <x v="11"/>
    <x v="3"/>
    <s v="India"/>
    <s v="CCD Mall"/>
    <x v="4"/>
    <x v="3"/>
    <n v="1"/>
    <n v="218"/>
    <n v="218"/>
    <x v="2"/>
  </r>
  <r>
    <s v="CCD1275"/>
    <s v="2025-05-04"/>
    <x v="2"/>
    <x v="6"/>
    <s v="India"/>
    <s v="CCD MG Road"/>
    <x v="6"/>
    <x v="3"/>
    <n v="5"/>
    <n v="104"/>
    <n v="520"/>
    <x v="3"/>
  </r>
  <r>
    <s v="CCD1276"/>
    <s v="2025-12-27"/>
    <x v="4"/>
    <x v="3"/>
    <s v="India"/>
    <s v="CCD MG Road"/>
    <x v="7"/>
    <x v="0"/>
    <n v="3"/>
    <n v="133"/>
    <n v="399"/>
    <x v="1"/>
  </r>
  <r>
    <s v="CCD1277"/>
    <s v="2025-05-15"/>
    <x v="2"/>
    <x v="2"/>
    <s v="India"/>
    <s v="CCD MG Road"/>
    <x v="4"/>
    <x v="3"/>
    <n v="5"/>
    <n v="221"/>
    <n v="1105"/>
    <x v="3"/>
  </r>
  <r>
    <s v="CCD1278"/>
    <s v="2025-02-13"/>
    <x v="5"/>
    <x v="6"/>
    <s v="India"/>
    <s v="CCD Airport"/>
    <x v="0"/>
    <x v="0"/>
    <n v="5"/>
    <n v="188"/>
    <n v="940"/>
    <x v="2"/>
  </r>
  <r>
    <s v="CCD1279"/>
    <s v="2025-11-28"/>
    <x v="11"/>
    <x v="5"/>
    <s v="India"/>
    <s v="CCD Beach Road"/>
    <x v="2"/>
    <x v="2"/>
    <n v="1"/>
    <n v="171"/>
    <n v="171"/>
    <x v="2"/>
  </r>
  <r>
    <s v="CCD1280"/>
    <s v="2025-12-06"/>
    <x v="4"/>
    <x v="6"/>
    <s v="India"/>
    <s v="CCD IT Park"/>
    <x v="2"/>
    <x v="2"/>
    <n v="5"/>
    <n v="167"/>
    <n v="835"/>
    <x v="1"/>
  </r>
  <r>
    <s v="CCD1281"/>
    <s v="2025-04-12"/>
    <x v="7"/>
    <x v="0"/>
    <s v="India"/>
    <s v="CCD Airport"/>
    <x v="7"/>
    <x v="0"/>
    <n v="2"/>
    <n v="138"/>
    <n v="276"/>
    <x v="1"/>
  </r>
  <r>
    <s v="CCD1282"/>
    <s v="2025-09-29"/>
    <x v="8"/>
    <x v="3"/>
    <s v="India"/>
    <s v="CCD Mall"/>
    <x v="2"/>
    <x v="2"/>
    <n v="2"/>
    <n v="187"/>
    <n v="374"/>
    <x v="1"/>
  </r>
  <r>
    <s v="CCD1283"/>
    <s v="2025-05-27"/>
    <x v="2"/>
    <x v="1"/>
    <s v="India"/>
    <s v="CCD Mall"/>
    <x v="2"/>
    <x v="2"/>
    <n v="2"/>
    <n v="171"/>
    <n v="342"/>
    <x v="3"/>
  </r>
  <r>
    <s v="CCD1284"/>
    <s v="2025-07-14"/>
    <x v="3"/>
    <x v="4"/>
    <s v="India"/>
    <s v="CCD Airport"/>
    <x v="8"/>
    <x v="2"/>
    <n v="1"/>
    <n v="237"/>
    <n v="237"/>
    <x v="2"/>
  </r>
  <r>
    <s v="CCD1285"/>
    <s v="2025-11-01"/>
    <x v="11"/>
    <x v="0"/>
    <s v="India"/>
    <s v="CCD IT Park"/>
    <x v="4"/>
    <x v="3"/>
    <n v="5"/>
    <n v="206"/>
    <n v="1030"/>
    <x v="2"/>
  </r>
  <r>
    <s v="CCD1286"/>
    <s v="2025-04-14"/>
    <x v="7"/>
    <x v="2"/>
    <s v="India"/>
    <s v="CCD MG Road"/>
    <x v="7"/>
    <x v="0"/>
    <n v="2"/>
    <n v="151"/>
    <n v="302"/>
    <x v="3"/>
  </r>
  <r>
    <s v="CCD1287"/>
    <s v="2025-01-10"/>
    <x v="10"/>
    <x v="1"/>
    <s v="India"/>
    <s v="CCD Beach Road"/>
    <x v="7"/>
    <x v="0"/>
    <n v="5"/>
    <n v="156"/>
    <n v="780"/>
    <x v="1"/>
  </r>
  <r>
    <s v="CCD1288"/>
    <s v="2025-11-30"/>
    <x v="11"/>
    <x v="4"/>
    <s v="India"/>
    <s v="CCD IT Park"/>
    <x v="4"/>
    <x v="3"/>
    <n v="5"/>
    <n v="209"/>
    <n v="1045"/>
    <x v="3"/>
  </r>
  <r>
    <s v="CCD1289"/>
    <s v="2025-05-22"/>
    <x v="2"/>
    <x v="1"/>
    <s v="India"/>
    <s v="CCD Airport"/>
    <x v="6"/>
    <x v="3"/>
    <n v="3"/>
    <n v="116"/>
    <n v="348"/>
    <x v="1"/>
  </r>
  <r>
    <s v="CCD1290"/>
    <s v="2025-05-17"/>
    <x v="2"/>
    <x v="2"/>
    <s v="India"/>
    <s v="CCD Airport"/>
    <x v="6"/>
    <x v="3"/>
    <n v="1"/>
    <n v="139"/>
    <n v="139"/>
    <x v="2"/>
  </r>
  <r>
    <s v="CCD1291"/>
    <s v="2025-10-29"/>
    <x v="0"/>
    <x v="6"/>
    <s v="India"/>
    <s v="CCD Beach Road"/>
    <x v="7"/>
    <x v="0"/>
    <n v="1"/>
    <n v="137"/>
    <n v="137"/>
    <x v="0"/>
  </r>
  <r>
    <s v="CCD1292"/>
    <s v="2025-10-16"/>
    <x v="0"/>
    <x v="4"/>
    <s v="India"/>
    <s v="CCD Airport"/>
    <x v="9"/>
    <x v="1"/>
    <n v="2"/>
    <n v="154"/>
    <n v="308"/>
    <x v="3"/>
  </r>
  <r>
    <s v="CCD1293"/>
    <s v="2025-06-05"/>
    <x v="9"/>
    <x v="2"/>
    <s v="India"/>
    <s v="CCD Airport"/>
    <x v="3"/>
    <x v="0"/>
    <n v="1"/>
    <n v="208"/>
    <n v="208"/>
    <x v="0"/>
  </r>
  <r>
    <s v="CCD1294"/>
    <s v="2025-09-21"/>
    <x v="8"/>
    <x v="0"/>
    <s v="India"/>
    <s v="CCD Mall"/>
    <x v="3"/>
    <x v="0"/>
    <n v="1"/>
    <n v="208"/>
    <n v="208"/>
    <x v="3"/>
  </r>
  <r>
    <s v="CCD1295"/>
    <s v="2025-04-23"/>
    <x v="7"/>
    <x v="2"/>
    <s v="India"/>
    <s v="CCD MG Road"/>
    <x v="5"/>
    <x v="0"/>
    <n v="1"/>
    <n v="219"/>
    <n v="219"/>
    <x v="1"/>
  </r>
  <r>
    <s v="CCD1296"/>
    <s v="2025-08-24"/>
    <x v="6"/>
    <x v="6"/>
    <s v="India"/>
    <s v="CCD Beach Road"/>
    <x v="4"/>
    <x v="3"/>
    <n v="4"/>
    <n v="215"/>
    <n v="860"/>
    <x v="0"/>
  </r>
  <r>
    <s v="CCD1297"/>
    <s v="2025-10-10"/>
    <x v="0"/>
    <x v="0"/>
    <s v="India"/>
    <s v="CCD MG Road"/>
    <x v="3"/>
    <x v="0"/>
    <n v="3"/>
    <n v="186"/>
    <n v="558"/>
    <x v="3"/>
  </r>
  <r>
    <s v="CCD1298"/>
    <s v="2025-12-07"/>
    <x v="4"/>
    <x v="6"/>
    <s v="India"/>
    <s v="CCD MG Road"/>
    <x v="9"/>
    <x v="1"/>
    <n v="1"/>
    <n v="177"/>
    <n v="177"/>
    <x v="0"/>
  </r>
  <r>
    <s v="CCD1299"/>
    <s v="2025-06-16"/>
    <x v="9"/>
    <x v="1"/>
    <s v="India"/>
    <s v="CCD Beach Road"/>
    <x v="5"/>
    <x v="0"/>
    <n v="5"/>
    <n v="220"/>
    <n v="1100"/>
    <x v="1"/>
  </r>
  <r>
    <s v="CCD1300"/>
    <s v="2025-06-12"/>
    <x v="9"/>
    <x v="6"/>
    <s v="India"/>
    <s v="CCD MG Road"/>
    <x v="7"/>
    <x v="0"/>
    <n v="1"/>
    <n v="164"/>
    <n v="164"/>
    <x v="1"/>
  </r>
  <r>
    <s v="CCD1301"/>
    <s v="2025-02-09"/>
    <x v="5"/>
    <x v="6"/>
    <s v="India"/>
    <s v="CCD MG Road"/>
    <x v="3"/>
    <x v="0"/>
    <n v="2"/>
    <n v="207"/>
    <n v="414"/>
    <x v="0"/>
  </r>
  <r>
    <s v="CCD1302"/>
    <s v="2025-09-10"/>
    <x v="8"/>
    <x v="3"/>
    <s v="India"/>
    <s v="CCD Airport"/>
    <x v="5"/>
    <x v="0"/>
    <n v="4"/>
    <n v="220"/>
    <n v="880"/>
    <x v="3"/>
  </r>
  <r>
    <s v="CCD1303"/>
    <s v="2025-12-09"/>
    <x v="4"/>
    <x v="1"/>
    <s v="India"/>
    <s v="CCD Mall"/>
    <x v="3"/>
    <x v="0"/>
    <n v="4"/>
    <n v="215"/>
    <n v="860"/>
    <x v="2"/>
  </r>
  <r>
    <s v="CCD1304"/>
    <s v="2025-12-12"/>
    <x v="4"/>
    <x v="6"/>
    <s v="India"/>
    <s v="CCD Beach Road"/>
    <x v="3"/>
    <x v="0"/>
    <n v="2"/>
    <n v="211"/>
    <n v="422"/>
    <x v="2"/>
  </r>
  <r>
    <s v="CCD1305"/>
    <s v="2025-07-23"/>
    <x v="3"/>
    <x v="1"/>
    <s v="India"/>
    <s v="CCD Beach Road"/>
    <x v="4"/>
    <x v="3"/>
    <n v="5"/>
    <n v="237"/>
    <n v="1185"/>
    <x v="2"/>
  </r>
  <r>
    <s v="CCD1306"/>
    <s v="2025-09-21"/>
    <x v="8"/>
    <x v="2"/>
    <s v="India"/>
    <s v="CCD Beach Road"/>
    <x v="5"/>
    <x v="0"/>
    <n v="4"/>
    <n v="221"/>
    <n v="884"/>
    <x v="3"/>
  </r>
  <r>
    <s v="CCD1307"/>
    <s v="2025-06-16"/>
    <x v="9"/>
    <x v="3"/>
    <s v="India"/>
    <s v="CCD Beach Road"/>
    <x v="9"/>
    <x v="1"/>
    <n v="5"/>
    <n v="175"/>
    <n v="875"/>
    <x v="0"/>
  </r>
  <r>
    <s v="CCD1308"/>
    <s v="2025-02-27"/>
    <x v="5"/>
    <x v="0"/>
    <s v="India"/>
    <s v="CCD Mall"/>
    <x v="7"/>
    <x v="0"/>
    <n v="1"/>
    <n v="132"/>
    <n v="132"/>
    <x v="0"/>
  </r>
  <r>
    <s v="CCD1309"/>
    <s v="2025-12-10"/>
    <x v="4"/>
    <x v="0"/>
    <s v="India"/>
    <s v="CCD Mall"/>
    <x v="7"/>
    <x v="0"/>
    <n v="5"/>
    <n v="144"/>
    <n v="720"/>
    <x v="3"/>
  </r>
  <r>
    <s v="CCD1310"/>
    <s v="2025-06-05"/>
    <x v="9"/>
    <x v="2"/>
    <s v="India"/>
    <s v="CCD IT Park"/>
    <x v="9"/>
    <x v="1"/>
    <n v="5"/>
    <n v="155"/>
    <n v="775"/>
    <x v="1"/>
  </r>
  <r>
    <s v="CCD1311"/>
    <s v="2025-08-27"/>
    <x v="6"/>
    <x v="1"/>
    <s v="India"/>
    <s v="CCD IT Park"/>
    <x v="2"/>
    <x v="2"/>
    <n v="1"/>
    <n v="186"/>
    <n v="186"/>
    <x v="2"/>
  </r>
  <r>
    <s v="CCD1312"/>
    <s v="2025-02-06"/>
    <x v="5"/>
    <x v="6"/>
    <s v="India"/>
    <s v="CCD IT Park"/>
    <x v="4"/>
    <x v="3"/>
    <n v="2"/>
    <n v="228"/>
    <n v="456"/>
    <x v="3"/>
  </r>
  <r>
    <s v="CCD1313"/>
    <s v="2025-08-24"/>
    <x v="6"/>
    <x v="6"/>
    <s v="India"/>
    <s v="CCD MG Road"/>
    <x v="6"/>
    <x v="3"/>
    <n v="4"/>
    <n v="134"/>
    <n v="536"/>
    <x v="1"/>
  </r>
  <r>
    <s v="CCD1314"/>
    <s v="2025-09-04"/>
    <x v="8"/>
    <x v="6"/>
    <s v="India"/>
    <s v="CCD IT Park"/>
    <x v="4"/>
    <x v="3"/>
    <n v="5"/>
    <n v="201"/>
    <n v="1005"/>
    <x v="1"/>
  </r>
  <r>
    <s v="CCD1315"/>
    <s v="2025-03-16"/>
    <x v="1"/>
    <x v="6"/>
    <s v="India"/>
    <s v="CCD IT Park"/>
    <x v="3"/>
    <x v="0"/>
    <n v="5"/>
    <n v="215"/>
    <n v="1075"/>
    <x v="1"/>
  </r>
  <r>
    <s v="CCD1316"/>
    <s v="2025-01-20"/>
    <x v="10"/>
    <x v="0"/>
    <s v="India"/>
    <s v="CCD MG Road"/>
    <x v="8"/>
    <x v="2"/>
    <n v="3"/>
    <n v="232"/>
    <n v="696"/>
    <x v="3"/>
  </r>
  <r>
    <s v="CCD1317"/>
    <s v="2025-08-14"/>
    <x v="6"/>
    <x v="0"/>
    <s v="India"/>
    <s v="CCD IT Park"/>
    <x v="0"/>
    <x v="0"/>
    <n v="3"/>
    <n v="184"/>
    <n v="552"/>
    <x v="1"/>
  </r>
  <r>
    <s v="CCD1318"/>
    <s v="2025-09-27"/>
    <x v="8"/>
    <x v="6"/>
    <s v="India"/>
    <s v="CCD MG Road"/>
    <x v="8"/>
    <x v="2"/>
    <n v="5"/>
    <n v="246"/>
    <n v="1230"/>
    <x v="3"/>
  </r>
  <r>
    <s v="CCD1319"/>
    <s v="2025-09-17"/>
    <x v="8"/>
    <x v="4"/>
    <s v="India"/>
    <s v="CCD Mall"/>
    <x v="2"/>
    <x v="2"/>
    <n v="1"/>
    <n v="162"/>
    <n v="162"/>
    <x v="2"/>
  </r>
  <r>
    <s v="CCD1320"/>
    <s v="2025-04-28"/>
    <x v="7"/>
    <x v="1"/>
    <s v="India"/>
    <s v="CCD Beach Road"/>
    <x v="5"/>
    <x v="0"/>
    <n v="5"/>
    <n v="195"/>
    <n v="975"/>
    <x v="1"/>
  </r>
  <r>
    <s v="CCD1321"/>
    <s v="2025-11-14"/>
    <x v="11"/>
    <x v="2"/>
    <s v="India"/>
    <s v="CCD Beach Road"/>
    <x v="3"/>
    <x v="0"/>
    <n v="3"/>
    <n v="198"/>
    <n v="594"/>
    <x v="2"/>
  </r>
  <r>
    <s v="CCD1322"/>
    <s v="2025-07-06"/>
    <x v="3"/>
    <x v="0"/>
    <s v="India"/>
    <s v="CCD Beach Road"/>
    <x v="8"/>
    <x v="2"/>
    <n v="2"/>
    <n v="262"/>
    <n v="524"/>
    <x v="0"/>
  </r>
  <r>
    <s v="CCD1323"/>
    <s v="2025-12-06"/>
    <x v="4"/>
    <x v="0"/>
    <s v="India"/>
    <s v="CCD Beach Road"/>
    <x v="3"/>
    <x v="0"/>
    <n v="2"/>
    <n v="198"/>
    <n v="396"/>
    <x v="1"/>
  </r>
  <r>
    <s v="CCD1324"/>
    <s v="2025-11-03"/>
    <x v="11"/>
    <x v="4"/>
    <s v="India"/>
    <s v="CCD IT Park"/>
    <x v="7"/>
    <x v="0"/>
    <n v="3"/>
    <n v="168"/>
    <n v="504"/>
    <x v="2"/>
  </r>
  <r>
    <s v="CCD1325"/>
    <s v="2025-11-02"/>
    <x v="11"/>
    <x v="3"/>
    <s v="India"/>
    <s v="CCD IT Park"/>
    <x v="1"/>
    <x v="1"/>
    <n v="2"/>
    <n v="144"/>
    <n v="288"/>
    <x v="2"/>
  </r>
  <r>
    <s v="CCD1326"/>
    <s v="2025-02-17"/>
    <x v="5"/>
    <x v="2"/>
    <s v="India"/>
    <s v="CCD Beach Road"/>
    <x v="9"/>
    <x v="1"/>
    <n v="5"/>
    <n v="149"/>
    <n v="745"/>
    <x v="2"/>
  </r>
  <r>
    <s v="CCD1327"/>
    <s v="2025-07-12"/>
    <x v="3"/>
    <x v="4"/>
    <s v="India"/>
    <s v="CCD Beach Road"/>
    <x v="2"/>
    <x v="2"/>
    <n v="2"/>
    <n v="172"/>
    <n v="344"/>
    <x v="0"/>
  </r>
  <r>
    <s v="CCD1328"/>
    <s v="2025-07-01"/>
    <x v="3"/>
    <x v="1"/>
    <s v="India"/>
    <s v="CCD Beach Road"/>
    <x v="2"/>
    <x v="2"/>
    <n v="2"/>
    <n v="156"/>
    <n v="312"/>
    <x v="0"/>
  </r>
  <r>
    <s v="CCD1329"/>
    <s v="2025-02-20"/>
    <x v="5"/>
    <x v="6"/>
    <s v="India"/>
    <s v="CCD IT Park"/>
    <x v="7"/>
    <x v="0"/>
    <n v="3"/>
    <n v="143"/>
    <n v="429"/>
    <x v="1"/>
  </r>
  <r>
    <s v="CCD1330"/>
    <s v="2025-09-20"/>
    <x v="8"/>
    <x v="6"/>
    <s v="India"/>
    <s v="CCD IT Park"/>
    <x v="2"/>
    <x v="2"/>
    <n v="5"/>
    <n v="157"/>
    <n v="785"/>
    <x v="3"/>
  </r>
  <r>
    <s v="CCD1331"/>
    <s v="2025-02-08"/>
    <x v="5"/>
    <x v="2"/>
    <s v="India"/>
    <s v="CCD Airport"/>
    <x v="9"/>
    <x v="1"/>
    <n v="5"/>
    <n v="147"/>
    <n v="735"/>
    <x v="0"/>
  </r>
  <r>
    <s v="CCD1332"/>
    <s v="2025-03-17"/>
    <x v="1"/>
    <x v="0"/>
    <s v="India"/>
    <s v="CCD IT Park"/>
    <x v="5"/>
    <x v="0"/>
    <n v="5"/>
    <n v="206"/>
    <n v="1030"/>
    <x v="1"/>
  </r>
  <r>
    <s v="CCD1333"/>
    <s v="2025-02-03"/>
    <x v="5"/>
    <x v="1"/>
    <s v="India"/>
    <s v="CCD Beach Road"/>
    <x v="9"/>
    <x v="1"/>
    <n v="2"/>
    <n v="144"/>
    <n v="288"/>
    <x v="0"/>
  </r>
  <r>
    <s v="CCD1334"/>
    <s v="2025-09-20"/>
    <x v="8"/>
    <x v="5"/>
    <s v="India"/>
    <s v="CCD Mall"/>
    <x v="2"/>
    <x v="2"/>
    <n v="3"/>
    <n v="156"/>
    <n v="468"/>
    <x v="2"/>
  </r>
  <r>
    <s v="CCD1335"/>
    <s v="2025-01-05"/>
    <x v="10"/>
    <x v="0"/>
    <s v="India"/>
    <s v="CCD Beach Road"/>
    <x v="2"/>
    <x v="2"/>
    <n v="2"/>
    <n v="176"/>
    <n v="352"/>
    <x v="0"/>
  </r>
  <r>
    <s v="CCD1336"/>
    <s v="2025-01-18"/>
    <x v="10"/>
    <x v="0"/>
    <s v="India"/>
    <s v="CCD MG Road"/>
    <x v="1"/>
    <x v="1"/>
    <n v="4"/>
    <n v="149"/>
    <n v="596"/>
    <x v="2"/>
  </r>
  <r>
    <s v="CCD1337"/>
    <s v="2025-10-21"/>
    <x v="0"/>
    <x v="1"/>
    <s v="India"/>
    <s v="CCD Mall"/>
    <x v="9"/>
    <x v="1"/>
    <n v="3"/>
    <n v="174"/>
    <n v="522"/>
    <x v="3"/>
  </r>
  <r>
    <s v="CCD1338"/>
    <s v="2025-07-04"/>
    <x v="3"/>
    <x v="6"/>
    <s v="India"/>
    <s v="CCD Airport"/>
    <x v="9"/>
    <x v="1"/>
    <n v="2"/>
    <n v="161"/>
    <n v="322"/>
    <x v="1"/>
  </r>
  <r>
    <s v="CCD1339"/>
    <s v="2025-03-05"/>
    <x v="1"/>
    <x v="2"/>
    <s v="India"/>
    <s v="CCD IT Park"/>
    <x v="0"/>
    <x v="0"/>
    <n v="2"/>
    <n v="187"/>
    <n v="374"/>
    <x v="2"/>
  </r>
  <r>
    <s v="CCD1340"/>
    <s v="2025-08-14"/>
    <x v="6"/>
    <x v="5"/>
    <s v="India"/>
    <s v="CCD Mall"/>
    <x v="6"/>
    <x v="3"/>
    <n v="4"/>
    <n v="105"/>
    <n v="420"/>
    <x v="1"/>
  </r>
  <r>
    <s v="CCD1341"/>
    <s v="2025-11-28"/>
    <x v="11"/>
    <x v="3"/>
    <s v="India"/>
    <s v="CCD MG Road"/>
    <x v="6"/>
    <x v="3"/>
    <n v="1"/>
    <n v="137"/>
    <n v="137"/>
    <x v="1"/>
  </r>
  <r>
    <s v="CCD1342"/>
    <s v="2025-10-09"/>
    <x v="0"/>
    <x v="6"/>
    <s v="India"/>
    <s v="CCD IT Park"/>
    <x v="5"/>
    <x v="0"/>
    <n v="4"/>
    <n v="202"/>
    <n v="808"/>
    <x v="1"/>
  </r>
  <r>
    <s v="CCD1343"/>
    <s v="2025-05-13"/>
    <x v="2"/>
    <x v="6"/>
    <s v="India"/>
    <s v="CCD MG Road"/>
    <x v="3"/>
    <x v="0"/>
    <n v="5"/>
    <n v="183"/>
    <n v="915"/>
    <x v="3"/>
  </r>
  <r>
    <s v="CCD1344"/>
    <s v="2025-01-23"/>
    <x v="10"/>
    <x v="5"/>
    <s v="India"/>
    <s v="CCD Airport"/>
    <x v="5"/>
    <x v="0"/>
    <n v="4"/>
    <n v="220"/>
    <n v="880"/>
    <x v="3"/>
  </r>
  <r>
    <s v="CCD1345"/>
    <s v="2025-12-21"/>
    <x v="4"/>
    <x v="4"/>
    <s v="India"/>
    <s v="CCD MG Road"/>
    <x v="0"/>
    <x v="0"/>
    <n v="5"/>
    <n v="166"/>
    <n v="830"/>
    <x v="3"/>
  </r>
  <r>
    <s v="CCD1346"/>
    <s v="2025-11-08"/>
    <x v="11"/>
    <x v="5"/>
    <s v="India"/>
    <s v="CCD MG Road"/>
    <x v="9"/>
    <x v="1"/>
    <n v="5"/>
    <n v="141"/>
    <n v="705"/>
    <x v="3"/>
  </r>
  <r>
    <s v="CCD1347"/>
    <s v="2025-01-13"/>
    <x v="10"/>
    <x v="1"/>
    <s v="India"/>
    <s v="CCD IT Park"/>
    <x v="6"/>
    <x v="3"/>
    <n v="2"/>
    <n v="134"/>
    <n v="268"/>
    <x v="3"/>
  </r>
  <r>
    <s v="CCD1348"/>
    <s v="2025-02-07"/>
    <x v="5"/>
    <x v="2"/>
    <s v="India"/>
    <s v="CCD IT Park"/>
    <x v="3"/>
    <x v="0"/>
    <n v="3"/>
    <n v="203"/>
    <n v="609"/>
    <x v="1"/>
  </r>
  <r>
    <s v="CCD1349"/>
    <s v="2025-07-14"/>
    <x v="3"/>
    <x v="1"/>
    <s v="India"/>
    <s v="CCD IT Park"/>
    <x v="0"/>
    <x v="0"/>
    <n v="4"/>
    <n v="190"/>
    <n v="760"/>
    <x v="2"/>
  </r>
  <r>
    <s v="CCD1350"/>
    <s v="2025-04-12"/>
    <x v="7"/>
    <x v="6"/>
    <s v="India"/>
    <s v="CCD MG Road"/>
    <x v="8"/>
    <x v="2"/>
    <n v="5"/>
    <n v="244"/>
    <n v="1220"/>
    <x v="1"/>
  </r>
  <r>
    <s v="CCD1351"/>
    <s v="2025-01-17"/>
    <x v="10"/>
    <x v="1"/>
    <s v="India"/>
    <s v="CCD MG Road"/>
    <x v="8"/>
    <x v="2"/>
    <n v="2"/>
    <n v="256"/>
    <n v="512"/>
    <x v="2"/>
  </r>
  <r>
    <s v="CCD1352"/>
    <s v="2025-12-08"/>
    <x v="4"/>
    <x v="3"/>
    <s v="India"/>
    <s v="CCD Beach Road"/>
    <x v="5"/>
    <x v="0"/>
    <n v="4"/>
    <n v="196"/>
    <n v="784"/>
    <x v="2"/>
  </r>
  <r>
    <s v="CCD1353"/>
    <s v="2025-04-11"/>
    <x v="7"/>
    <x v="4"/>
    <s v="India"/>
    <s v="CCD Airport"/>
    <x v="7"/>
    <x v="0"/>
    <n v="1"/>
    <n v="161"/>
    <n v="161"/>
    <x v="3"/>
  </r>
  <r>
    <s v="CCD1354"/>
    <s v="2025-08-03"/>
    <x v="6"/>
    <x v="6"/>
    <s v="India"/>
    <s v="CCD Beach Road"/>
    <x v="1"/>
    <x v="1"/>
    <n v="4"/>
    <n v="125"/>
    <n v="500"/>
    <x v="3"/>
  </r>
  <r>
    <s v="CCD1355"/>
    <s v="2025-01-08"/>
    <x v="10"/>
    <x v="6"/>
    <s v="India"/>
    <s v="CCD MG Road"/>
    <x v="3"/>
    <x v="0"/>
    <n v="5"/>
    <n v="207"/>
    <n v="1035"/>
    <x v="0"/>
  </r>
  <r>
    <s v="CCD1356"/>
    <s v="2025-06-02"/>
    <x v="9"/>
    <x v="6"/>
    <s v="India"/>
    <s v="CCD Beach Road"/>
    <x v="6"/>
    <x v="3"/>
    <n v="1"/>
    <n v="128"/>
    <n v="128"/>
    <x v="1"/>
  </r>
  <r>
    <s v="CCD1357"/>
    <s v="2025-01-07"/>
    <x v="10"/>
    <x v="2"/>
    <s v="India"/>
    <s v="CCD Airport"/>
    <x v="8"/>
    <x v="2"/>
    <n v="2"/>
    <n v="237"/>
    <n v="474"/>
    <x v="1"/>
  </r>
  <r>
    <s v="CCD1358"/>
    <s v="2025-01-22"/>
    <x v="10"/>
    <x v="4"/>
    <s v="India"/>
    <s v="CCD Beach Road"/>
    <x v="5"/>
    <x v="0"/>
    <n v="3"/>
    <n v="207"/>
    <n v="621"/>
    <x v="0"/>
  </r>
  <r>
    <s v="CCD1359"/>
    <s v="2025-07-23"/>
    <x v="3"/>
    <x v="5"/>
    <s v="India"/>
    <s v="CCD Mall"/>
    <x v="5"/>
    <x v="0"/>
    <n v="3"/>
    <n v="206"/>
    <n v="618"/>
    <x v="3"/>
  </r>
  <r>
    <s v="CCD1360"/>
    <s v="2025-04-09"/>
    <x v="7"/>
    <x v="4"/>
    <s v="India"/>
    <s v="CCD MG Road"/>
    <x v="7"/>
    <x v="0"/>
    <n v="5"/>
    <n v="139"/>
    <n v="695"/>
    <x v="0"/>
  </r>
  <r>
    <s v="CCD1361"/>
    <s v="2025-03-29"/>
    <x v="1"/>
    <x v="5"/>
    <s v="India"/>
    <s v="CCD Mall"/>
    <x v="7"/>
    <x v="0"/>
    <n v="5"/>
    <n v="156"/>
    <n v="780"/>
    <x v="2"/>
  </r>
  <r>
    <s v="CCD1362"/>
    <s v="2025-02-25"/>
    <x v="5"/>
    <x v="0"/>
    <s v="India"/>
    <s v="CCD Mall"/>
    <x v="5"/>
    <x v="0"/>
    <n v="1"/>
    <n v="225"/>
    <n v="225"/>
    <x v="3"/>
  </r>
  <r>
    <s v="CCD1363"/>
    <s v="2025-12-30"/>
    <x v="4"/>
    <x v="2"/>
    <s v="India"/>
    <s v="CCD Beach Road"/>
    <x v="0"/>
    <x v="0"/>
    <n v="4"/>
    <n v="195"/>
    <n v="780"/>
    <x v="2"/>
  </r>
  <r>
    <s v="CCD1364"/>
    <s v="2025-01-30"/>
    <x v="10"/>
    <x v="5"/>
    <s v="India"/>
    <s v="CCD Mall"/>
    <x v="6"/>
    <x v="3"/>
    <n v="5"/>
    <n v="134"/>
    <n v="670"/>
    <x v="0"/>
  </r>
  <r>
    <s v="CCD1365"/>
    <s v="2025-03-19"/>
    <x v="1"/>
    <x v="2"/>
    <s v="India"/>
    <s v="CCD MG Road"/>
    <x v="1"/>
    <x v="1"/>
    <n v="2"/>
    <n v="140"/>
    <n v="280"/>
    <x v="2"/>
  </r>
  <r>
    <s v="CCD1366"/>
    <s v="2025-02-07"/>
    <x v="5"/>
    <x v="3"/>
    <s v="India"/>
    <s v="CCD IT Park"/>
    <x v="4"/>
    <x v="3"/>
    <n v="2"/>
    <n v="225"/>
    <n v="450"/>
    <x v="1"/>
  </r>
  <r>
    <s v="CCD1367"/>
    <s v="2025-04-13"/>
    <x v="7"/>
    <x v="2"/>
    <s v="India"/>
    <s v="CCD IT Park"/>
    <x v="3"/>
    <x v="0"/>
    <n v="2"/>
    <n v="197"/>
    <n v="394"/>
    <x v="0"/>
  </r>
  <r>
    <s v="CCD1368"/>
    <s v="2025-10-30"/>
    <x v="0"/>
    <x v="2"/>
    <s v="India"/>
    <s v="CCD MG Road"/>
    <x v="5"/>
    <x v="0"/>
    <n v="5"/>
    <n v="196"/>
    <n v="980"/>
    <x v="2"/>
  </r>
  <r>
    <s v="CCD1369"/>
    <s v="2025-01-18"/>
    <x v="10"/>
    <x v="1"/>
    <s v="India"/>
    <s v="CCD Mall"/>
    <x v="3"/>
    <x v="0"/>
    <n v="4"/>
    <n v="199"/>
    <n v="796"/>
    <x v="2"/>
  </r>
  <r>
    <s v="CCD1370"/>
    <s v="2025-08-01"/>
    <x v="6"/>
    <x v="5"/>
    <s v="India"/>
    <s v="CCD MG Road"/>
    <x v="9"/>
    <x v="1"/>
    <n v="4"/>
    <n v="179"/>
    <n v="716"/>
    <x v="0"/>
  </r>
  <r>
    <s v="CCD1371"/>
    <s v="2025-03-31"/>
    <x v="1"/>
    <x v="3"/>
    <s v="India"/>
    <s v="CCD Airport"/>
    <x v="3"/>
    <x v="0"/>
    <n v="4"/>
    <n v="197"/>
    <n v="788"/>
    <x v="3"/>
  </r>
  <r>
    <s v="CCD1372"/>
    <s v="2025-06-10"/>
    <x v="9"/>
    <x v="3"/>
    <s v="India"/>
    <s v="CCD Mall"/>
    <x v="2"/>
    <x v="2"/>
    <n v="5"/>
    <n v="160"/>
    <n v="800"/>
    <x v="2"/>
  </r>
  <r>
    <s v="CCD1373"/>
    <s v="2025-09-30"/>
    <x v="8"/>
    <x v="4"/>
    <s v="India"/>
    <s v="CCD Airport"/>
    <x v="8"/>
    <x v="2"/>
    <n v="1"/>
    <n v="241"/>
    <n v="241"/>
    <x v="0"/>
  </r>
  <r>
    <s v="CCD1374"/>
    <s v="2025-03-30"/>
    <x v="1"/>
    <x v="2"/>
    <s v="India"/>
    <s v="CCD MG Road"/>
    <x v="9"/>
    <x v="1"/>
    <n v="1"/>
    <n v="142"/>
    <n v="142"/>
    <x v="2"/>
  </r>
  <r>
    <s v="CCD1375"/>
    <s v="2025-07-12"/>
    <x v="3"/>
    <x v="4"/>
    <s v="India"/>
    <s v="CCD IT Park"/>
    <x v="6"/>
    <x v="3"/>
    <n v="4"/>
    <n v="101"/>
    <n v="404"/>
    <x v="1"/>
  </r>
  <r>
    <s v="CCD1376"/>
    <s v="2025-10-03"/>
    <x v="0"/>
    <x v="3"/>
    <s v="India"/>
    <s v="CCD MG Road"/>
    <x v="7"/>
    <x v="0"/>
    <n v="1"/>
    <n v="154"/>
    <n v="154"/>
    <x v="3"/>
  </r>
  <r>
    <s v="CCD1377"/>
    <s v="2025-03-08"/>
    <x v="1"/>
    <x v="1"/>
    <s v="India"/>
    <s v="CCD Airport"/>
    <x v="7"/>
    <x v="0"/>
    <n v="3"/>
    <n v="151"/>
    <n v="453"/>
    <x v="0"/>
  </r>
  <r>
    <s v="CCD1378"/>
    <s v="2025-09-22"/>
    <x v="8"/>
    <x v="3"/>
    <s v="India"/>
    <s v="CCD MG Road"/>
    <x v="9"/>
    <x v="1"/>
    <n v="1"/>
    <n v="180"/>
    <n v="180"/>
    <x v="3"/>
  </r>
  <r>
    <s v="CCD1379"/>
    <s v="2025-10-16"/>
    <x v="0"/>
    <x v="2"/>
    <s v="India"/>
    <s v="CCD IT Park"/>
    <x v="5"/>
    <x v="0"/>
    <n v="2"/>
    <n v="228"/>
    <n v="456"/>
    <x v="3"/>
  </r>
  <r>
    <s v="CCD1380"/>
    <s v="2025-10-08"/>
    <x v="0"/>
    <x v="5"/>
    <s v="India"/>
    <s v="CCD MG Road"/>
    <x v="4"/>
    <x v="3"/>
    <n v="2"/>
    <n v="232"/>
    <n v="464"/>
    <x v="3"/>
  </r>
  <r>
    <s v="CCD1381"/>
    <s v="2025-07-16"/>
    <x v="3"/>
    <x v="2"/>
    <s v="India"/>
    <s v="CCD IT Park"/>
    <x v="6"/>
    <x v="3"/>
    <n v="2"/>
    <n v="111"/>
    <n v="222"/>
    <x v="2"/>
  </r>
  <r>
    <s v="CCD1382"/>
    <s v="2025-01-30"/>
    <x v="10"/>
    <x v="2"/>
    <s v="India"/>
    <s v="CCD MG Road"/>
    <x v="1"/>
    <x v="1"/>
    <n v="1"/>
    <n v="147"/>
    <n v="147"/>
    <x v="2"/>
  </r>
  <r>
    <s v="CCD1383"/>
    <s v="2025-08-11"/>
    <x v="6"/>
    <x v="0"/>
    <s v="India"/>
    <s v="CCD Airport"/>
    <x v="3"/>
    <x v="0"/>
    <n v="1"/>
    <n v="191"/>
    <n v="191"/>
    <x v="2"/>
  </r>
  <r>
    <s v="CCD1384"/>
    <s v="2025-06-18"/>
    <x v="9"/>
    <x v="3"/>
    <s v="India"/>
    <s v="CCD Airport"/>
    <x v="0"/>
    <x v="0"/>
    <n v="3"/>
    <n v="178"/>
    <n v="534"/>
    <x v="0"/>
  </r>
  <r>
    <s v="CCD1385"/>
    <s v="2025-10-10"/>
    <x v="0"/>
    <x v="3"/>
    <s v="India"/>
    <s v="CCD IT Park"/>
    <x v="6"/>
    <x v="3"/>
    <n v="1"/>
    <n v="110"/>
    <n v="110"/>
    <x v="0"/>
  </r>
  <r>
    <s v="CCD1386"/>
    <s v="2025-01-20"/>
    <x v="10"/>
    <x v="1"/>
    <s v="India"/>
    <s v="CCD Airport"/>
    <x v="8"/>
    <x v="2"/>
    <n v="5"/>
    <n v="266"/>
    <n v="1330"/>
    <x v="0"/>
  </r>
  <r>
    <s v="CCD1387"/>
    <s v="2025-03-12"/>
    <x v="1"/>
    <x v="1"/>
    <s v="India"/>
    <s v="CCD MG Road"/>
    <x v="0"/>
    <x v="0"/>
    <n v="1"/>
    <n v="185"/>
    <n v="185"/>
    <x v="0"/>
  </r>
  <r>
    <s v="CCD1388"/>
    <s v="2025-06-12"/>
    <x v="9"/>
    <x v="0"/>
    <s v="India"/>
    <s v="CCD Beach Road"/>
    <x v="8"/>
    <x v="2"/>
    <n v="3"/>
    <n v="231"/>
    <n v="693"/>
    <x v="0"/>
  </r>
  <r>
    <s v="CCD1389"/>
    <s v="2025-09-15"/>
    <x v="8"/>
    <x v="6"/>
    <s v="India"/>
    <s v="CCD MG Road"/>
    <x v="4"/>
    <x v="3"/>
    <n v="5"/>
    <n v="220"/>
    <n v="1100"/>
    <x v="2"/>
  </r>
  <r>
    <s v="CCD1390"/>
    <s v="2025-04-26"/>
    <x v="7"/>
    <x v="6"/>
    <s v="India"/>
    <s v="CCD Airport"/>
    <x v="8"/>
    <x v="2"/>
    <n v="4"/>
    <n v="243"/>
    <n v="972"/>
    <x v="1"/>
  </r>
  <r>
    <s v="CCD1391"/>
    <s v="2025-12-03"/>
    <x v="4"/>
    <x v="2"/>
    <s v="India"/>
    <s v="CCD IT Park"/>
    <x v="5"/>
    <x v="0"/>
    <n v="1"/>
    <n v="212"/>
    <n v="212"/>
    <x v="3"/>
  </r>
  <r>
    <s v="CCD1392"/>
    <s v="2025-10-24"/>
    <x v="0"/>
    <x v="1"/>
    <s v="India"/>
    <s v="CCD Mall"/>
    <x v="7"/>
    <x v="0"/>
    <n v="3"/>
    <n v="151"/>
    <n v="453"/>
    <x v="2"/>
  </r>
  <r>
    <s v="CCD1393"/>
    <s v="2025-08-25"/>
    <x v="6"/>
    <x v="4"/>
    <s v="India"/>
    <s v="CCD MG Road"/>
    <x v="3"/>
    <x v="0"/>
    <n v="1"/>
    <n v="180"/>
    <n v="180"/>
    <x v="0"/>
  </r>
  <r>
    <s v="CCD1394"/>
    <s v="2025-04-21"/>
    <x v="7"/>
    <x v="0"/>
    <s v="India"/>
    <s v="CCD IT Park"/>
    <x v="9"/>
    <x v="1"/>
    <n v="2"/>
    <n v="146"/>
    <n v="292"/>
    <x v="3"/>
  </r>
  <r>
    <s v="CCD1395"/>
    <s v="2025-11-14"/>
    <x v="11"/>
    <x v="1"/>
    <s v="India"/>
    <s v="CCD Beach Road"/>
    <x v="4"/>
    <x v="3"/>
    <n v="2"/>
    <n v="202"/>
    <n v="404"/>
    <x v="2"/>
  </r>
  <r>
    <s v="CCD1396"/>
    <s v="2025-10-31"/>
    <x v="0"/>
    <x v="5"/>
    <s v="India"/>
    <s v="CCD Beach Road"/>
    <x v="0"/>
    <x v="0"/>
    <n v="2"/>
    <n v="194"/>
    <n v="388"/>
    <x v="2"/>
  </r>
  <r>
    <s v="CCD1397"/>
    <s v="2025-02-22"/>
    <x v="5"/>
    <x v="1"/>
    <s v="India"/>
    <s v="CCD IT Park"/>
    <x v="5"/>
    <x v="0"/>
    <n v="1"/>
    <n v="194"/>
    <n v="194"/>
    <x v="0"/>
  </r>
  <r>
    <s v="CCD1398"/>
    <s v="2025-11-09"/>
    <x v="11"/>
    <x v="3"/>
    <s v="India"/>
    <s v="CCD IT Park"/>
    <x v="5"/>
    <x v="0"/>
    <n v="2"/>
    <n v="207"/>
    <n v="414"/>
    <x v="2"/>
  </r>
  <r>
    <s v="CCD1399"/>
    <s v="2025-10-26"/>
    <x v="0"/>
    <x v="3"/>
    <s v="India"/>
    <s v="CCD Airport"/>
    <x v="3"/>
    <x v="0"/>
    <n v="2"/>
    <n v="215"/>
    <n v="430"/>
    <x v="2"/>
  </r>
  <r>
    <s v="CCD1400"/>
    <s v="2025-06-19"/>
    <x v="9"/>
    <x v="6"/>
    <s v="India"/>
    <s v="CCD IT Park"/>
    <x v="8"/>
    <x v="2"/>
    <n v="5"/>
    <n v="268"/>
    <n v="1340"/>
    <x v="2"/>
  </r>
  <r>
    <s v="CCD1401"/>
    <s v="2025-02-21"/>
    <x v="5"/>
    <x v="5"/>
    <s v="India"/>
    <s v="CCD Airport"/>
    <x v="9"/>
    <x v="1"/>
    <n v="4"/>
    <n v="172"/>
    <n v="688"/>
    <x v="0"/>
  </r>
  <r>
    <s v="CCD1402"/>
    <s v="2025-10-25"/>
    <x v="0"/>
    <x v="6"/>
    <s v="India"/>
    <s v="CCD MG Road"/>
    <x v="2"/>
    <x v="2"/>
    <n v="2"/>
    <n v="180"/>
    <n v="360"/>
    <x v="2"/>
  </r>
  <r>
    <s v="CCD1403"/>
    <s v="2025-04-24"/>
    <x v="7"/>
    <x v="1"/>
    <s v="India"/>
    <s v="CCD Mall"/>
    <x v="9"/>
    <x v="1"/>
    <n v="4"/>
    <n v="142"/>
    <n v="568"/>
    <x v="0"/>
  </r>
  <r>
    <s v="CCD1404"/>
    <s v="2025-06-01"/>
    <x v="9"/>
    <x v="4"/>
    <s v="India"/>
    <s v="CCD Beach Road"/>
    <x v="7"/>
    <x v="0"/>
    <n v="3"/>
    <n v="163"/>
    <n v="489"/>
    <x v="1"/>
  </r>
  <r>
    <s v="CCD1405"/>
    <s v="2025-09-03"/>
    <x v="8"/>
    <x v="5"/>
    <s v="India"/>
    <s v="CCD Beach Road"/>
    <x v="1"/>
    <x v="1"/>
    <n v="3"/>
    <n v="140"/>
    <n v="420"/>
    <x v="0"/>
  </r>
  <r>
    <s v="CCD1406"/>
    <s v="2025-04-16"/>
    <x v="7"/>
    <x v="2"/>
    <s v="India"/>
    <s v="CCD MG Road"/>
    <x v="5"/>
    <x v="0"/>
    <n v="3"/>
    <n v="197"/>
    <n v="591"/>
    <x v="2"/>
  </r>
  <r>
    <s v="CCD1407"/>
    <s v="2025-07-09"/>
    <x v="3"/>
    <x v="1"/>
    <s v="India"/>
    <s v="CCD Beach Road"/>
    <x v="2"/>
    <x v="2"/>
    <n v="2"/>
    <n v="187"/>
    <n v="374"/>
    <x v="3"/>
  </r>
  <r>
    <s v="CCD1408"/>
    <s v="2025-06-07"/>
    <x v="9"/>
    <x v="2"/>
    <s v="India"/>
    <s v="CCD Mall"/>
    <x v="5"/>
    <x v="0"/>
    <n v="1"/>
    <n v="191"/>
    <n v="191"/>
    <x v="3"/>
  </r>
  <r>
    <s v="CCD1409"/>
    <s v="2025-09-20"/>
    <x v="8"/>
    <x v="6"/>
    <s v="India"/>
    <s v="CCD Beach Road"/>
    <x v="3"/>
    <x v="0"/>
    <n v="3"/>
    <n v="200"/>
    <n v="600"/>
    <x v="1"/>
  </r>
  <r>
    <s v="CCD1410"/>
    <s v="2025-12-11"/>
    <x v="4"/>
    <x v="5"/>
    <s v="India"/>
    <s v="CCD Mall"/>
    <x v="4"/>
    <x v="3"/>
    <n v="5"/>
    <n v="201"/>
    <n v="1005"/>
    <x v="0"/>
  </r>
  <r>
    <s v="CCD1411"/>
    <s v="2025-08-04"/>
    <x v="6"/>
    <x v="3"/>
    <s v="India"/>
    <s v="CCD Airport"/>
    <x v="6"/>
    <x v="3"/>
    <n v="3"/>
    <n v="104"/>
    <n v="312"/>
    <x v="2"/>
  </r>
  <r>
    <s v="CCD1412"/>
    <s v="2025-05-07"/>
    <x v="2"/>
    <x v="2"/>
    <s v="India"/>
    <s v="CCD Airport"/>
    <x v="2"/>
    <x v="2"/>
    <n v="1"/>
    <n v="164"/>
    <n v="164"/>
    <x v="0"/>
  </r>
  <r>
    <s v="CCD1413"/>
    <s v="2025-04-12"/>
    <x v="7"/>
    <x v="6"/>
    <s v="India"/>
    <s v="CCD Mall"/>
    <x v="4"/>
    <x v="3"/>
    <n v="1"/>
    <n v="236"/>
    <n v="236"/>
    <x v="0"/>
  </r>
  <r>
    <s v="CCD1414"/>
    <s v="2025-03-03"/>
    <x v="1"/>
    <x v="2"/>
    <s v="India"/>
    <s v="CCD Airport"/>
    <x v="2"/>
    <x v="2"/>
    <n v="3"/>
    <n v="169"/>
    <n v="507"/>
    <x v="3"/>
  </r>
  <r>
    <s v="CCD1415"/>
    <s v="2025-07-29"/>
    <x v="3"/>
    <x v="5"/>
    <s v="India"/>
    <s v="CCD IT Park"/>
    <x v="0"/>
    <x v="0"/>
    <n v="2"/>
    <n v="179"/>
    <n v="358"/>
    <x v="3"/>
  </r>
  <r>
    <s v="CCD1416"/>
    <s v="2025-08-27"/>
    <x v="6"/>
    <x v="6"/>
    <s v="India"/>
    <s v="CCD IT Park"/>
    <x v="2"/>
    <x v="2"/>
    <n v="3"/>
    <n v="160"/>
    <n v="480"/>
    <x v="2"/>
  </r>
  <r>
    <s v="CCD1417"/>
    <s v="2025-05-06"/>
    <x v="2"/>
    <x v="1"/>
    <s v="India"/>
    <s v="CCD Beach Road"/>
    <x v="8"/>
    <x v="2"/>
    <n v="3"/>
    <n v="235"/>
    <n v="705"/>
    <x v="3"/>
  </r>
  <r>
    <s v="CCD1418"/>
    <s v="2025-04-18"/>
    <x v="7"/>
    <x v="0"/>
    <s v="India"/>
    <s v="CCD Mall"/>
    <x v="1"/>
    <x v="1"/>
    <n v="5"/>
    <n v="131"/>
    <n v="655"/>
    <x v="0"/>
  </r>
  <r>
    <s v="CCD1419"/>
    <s v="2025-02-11"/>
    <x v="5"/>
    <x v="1"/>
    <s v="India"/>
    <s v="CCD IT Park"/>
    <x v="9"/>
    <x v="1"/>
    <n v="2"/>
    <n v="164"/>
    <n v="328"/>
    <x v="3"/>
  </r>
  <r>
    <s v="CCD1420"/>
    <s v="2025-11-17"/>
    <x v="11"/>
    <x v="6"/>
    <s v="India"/>
    <s v="CCD Mall"/>
    <x v="2"/>
    <x v="2"/>
    <n v="5"/>
    <n v="175"/>
    <n v="875"/>
    <x v="3"/>
  </r>
  <r>
    <s v="CCD1421"/>
    <s v="2025-10-28"/>
    <x v="0"/>
    <x v="3"/>
    <s v="India"/>
    <s v="CCD Airport"/>
    <x v="8"/>
    <x v="2"/>
    <n v="4"/>
    <n v="252"/>
    <n v="1008"/>
    <x v="0"/>
  </r>
  <r>
    <s v="CCD1422"/>
    <s v="2025-02-17"/>
    <x v="5"/>
    <x v="0"/>
    <s v="India"/>
    <s v="CCD Mall"/>
    <x v="6"/>
    <x v="3"/>
    <n v="2"/>
    <n v="100"/>
    <n v="200"/>
    <x v="0"/>
  </r>
  <r>
    <s v="CCD1423"/>
    <s v="2025-04-20"/>
    <x v="7"/>
    <x v="0"/>
    <s v="India"/>
    <s v="CCD IT Park"/>
    <x v="7"/>
    <x v="0"/>
    <n v="1"/>
    <n v="133"/>
    <n v="133"/>
    <x v="2"/>
  </r>
  <r>
    <s v="CCD1424"/>
    <s v="2025-02-17"/>
    <x v="5"/>
    <x v="0"/>
    <s v="India"/>
    <s v="CCD Beach Road"/>
    <x v="4"/>
    <x v="3"/>
    <n v="2"/>
    <n v="236"/>
    <n v="472"/>
    <x v="0"/>
  </r>
  <r>
    <s v="CCD1425"/>
    <s v="2025-08-02"/>
    <x v="6"/>
    <x v="2"/>
    <s v="India"/>
    <s v="CCD Beach Road"/>
    <x v="8"/>
    <x v="2"/>
    <n v="3"/>
    <n v="259"/>
    <n v="777"/>
    <x v="1"/>
  </r>
  <r>
    <s v="CCD1426"/>
    <s v="2025-06-01"/>
    <x v="9"/>
    <x v="1"/>
    <s v="India"/>
    <s v="CCD Airport"/>
    <x v="5"/>
    <x v="0"/>
    <n v="1"/>
    <n v="193"/>
    <n v="193"/>
    <x v="2"/>
  </r>
  <r>
    <s v="CCD1427"/>
    <s v="2025-11-19"/>
    <x v="11"/>
    <x v="3"/>
    <s v="India"/>
    <s v="CCD IT Park"/>
    <x v="2"/>
    <x v="2"/>
    <n v="2"/>
    <n v="174"/>
    <n v="348"/>
    <x v="0"/>
  </r>
  <r>
    <s v="CCD1428"/>
    <s v="2025-12-17"/>
    <x v="4"/>
    <x v="1"/>
    <s v="India"/>
    <s v="CCD IT Park"/>
    <x v="0"/>
    <x v="0"/>
    <n v="1"/>
    <n v="161"/>
    <n v="161"/>
    <x v="2"/>
  </r>
  <r>
    <s v="CCD1429"/>
    <s v="2025-05-21"/>
    <x v="2"/>
    <x v="2"/>
    <s v="India"/>
    <s v="CCD Mall"/>
    <x v="9"/>
    <x v="1"/>
    <n v="3"/>
    <n v="143"/>
    <n v="429"/>
    <x v="1"/>
  </r>
  <r>
    <s v="CCD1430"/>
    <s v="2025-03-29"/>
    <x v="1"/>
    <x v="0"/>
    <s v="India"/>
    <s v="CCD MG Road"/>
    <x v="8"/>
    <x v="2"/>
    <n v="3"/>
    <n v="233"/>
    <n v="699"/>
    <x v="2"/>
  </r>
  <r>
    <s v="CCD1431"/>
    <s v="2025-01-09"/>
    <x v="10"/>
    <x v="1"/>
    <s v="India"/>
    <s v="CCD Mall"/>
    <x v="4"/>
    <x v="3"/>
    <n v="5"/>
    <n v="215"/>
    <n v="1075"/>
    <x v="1"/>
  </r>
  <r>
    <s v="CCD1432"/>
    <s v="2025-02-15"/>
    <x v="5"/>
    <x v="0"/>
    <s v="India"/>
    <s v="CCD Mall"/>
    <x v="3"/>
    <x v="0"/>
    <n v="3"/>
    <n v="204"/>
    <n v="612"/>
    <x v="1"/>
  </r>
  <r>
    <s v="CCD1433"/>
    <s v="2025-05-06"/>
    <x v="2"/>
    <x v="5"/>
    <s v="India"/>
    <s v="CCD Mall"/>
    <x v="0"/>
    <x v="0"/>
    <n v="1"/>
    <n v="190"/>
    <n v="190"/>
    <x v="3"/>
  </r>
  <r>
    <s v="CCD1434"/>
    <s v="2025-05-17"/>
    <x v="2"/>
    <x v="4"/>
    <s v="India"/>
    <s v="CCD Beach Road"/>
    <x v="7"/>
    <x v="0"/>
    <n v="1"/>
    <n v="134"/>
    <n v="134"/>
    <x v="1"/>
  </r>
  <r>
    <s v="CCD1435"/>
    <s v="2025-08-24"/>
    <x v="6"/>
    <x v="6"/>
    <s v="India"/>
    <s v="CCD Mall"/>
    <x v="2"/>
    <x v="2"/>
    <n v="4"/>
    <n v="151"/>
    <n v="604"/>
    <x v="0"/>
  </r>
  <r>
    <s v="CCD1436"/>
    <s v="2025-09-03"/>
    <x v="8"/>
    <x v="5"/>
    <s v="India"/>
    <s v="CCD Mall"/>
    <x v="9"/>
    <x v="1"/>
    <n v="1"/>
    <n v="168"/>
    <n v="168"/>
    <x v="3"/>
  </r>
  <r>
    <s v="CCD1437"/>
    <s v="2025-10-17"/>
    <x v="0"/>
    <x v="5"/>
    <s v="India"/>
    <s v="CCD MG Road"/>
    <x v="4"/>
    <x v="3"/>
    <n v="4"/>
    <n v="228"/>
    <n v="912"/>
    <x v="3"/>
  </r>
  <r>
    <s v="CCD1438"/>
    <s v="2025-10-22"/>
    <x v="0"/>
    <x v="4"/>
    <s v="India"/>
    <s v="CCD IT Park"/>
    <x v="3"/>
    <x v="0"/>
    <n v="5"/>
    <n v="198"/>
    <n v="990"/>
    <x v="1"/>
  </r>
  <r>
    <s v="CCD1439"/>
    <s v="2025-07-21"/>
    <x v="3"/>
    <x v="2"/>
    <s v="India"/>
    <s v="CCD IT Park"/>
    <x v="2"/>
    <x v="2"/>
    <n v="2"/>
    <n v="190"/>
    <n v="380"/>
    <x v="3"/>
  </r>
  <r>
    <s v="CCD1440"/>
    <s v="2025-02-27"/>
    <x v="5"/>
    <x v="2"/>
    <s v="India"/>
    <s v="CCD IT Park"/>
    <x v="0"/>
    <x v="0"/>
    <n v="3"/>
    <n v="197"/>
    <n v="591"/>
    <x v="2"/>
  </r>
  <r>
    <s v="CCD1441"/>
    <s v="2025-03-28"/>
    <x v="1"/>
    <x v="0"/>
    <s v="India"/>
    <s v="CCD IT Park"/>
    <x v="4"/>
    <x v="3"/>
    <n v="3"/>
    <n v="214"/>
    <n v="642"/>
    <x v="1"/>
  </r>
  <r>
    <s v="CCD1442"/>
    <s v="2025-07-11"/>
    <x v="3"/>
    <x v="3"/>
    <s v="India"/>
    <s v="CCD IT Park"/>
    <x v="3"/>
    <x v="0"/>
    <n v="4"/>
    <n v="186"/>
    <n v="744"/>
    <x v="0"/>
  </r>
  <r>
    <s v="CCD1443"/>
    <s v="2025-12-07"/>
    <x v="4"/>
    <x v="1"/>
    <s v="India"/>
    <s v="CCD Airport"/>
    <x v="0"/>
    <x v="0"/>
    <n v="3"/>
    <n v="191"/>
    <n v="573"/>
    <x v="0"/>
  </r>
  <r>
    <s v="CCD1444"/>
    <s v="2025-12-30"/>
    <x v="4"/>
    <x v="0"/>
    <s v="India"/>
    <s v="CCD Beach Road"/>
    <x v="4"/>
    <x v="3"/>
    <n v="5"/>
    <n v="232"/>
    <n v="1160"/>
    <x v="0"/>
  </r>
  <r>
    <s v="CCD1445"/>
    <s v="2025-07-13"/>
    <x v="3"/>
    <x v="0"/>
    <s v="India"/>
    <s v="CCD MG Road"/>
    <x v="9"/>
    <x v="1"/>
    <n v="4"/>
    <n v="140"/>
    <n v="560"/>
    <x v="2"/>
  </r>
  <r>
    <s v="CCD1446"/>
    <s v="2025-09-12"/>
    <x v="8"/>
    <x v="1"/>
    <s v="India"/>
    <s v="CCD Beach Road"/>
    <x v="6"/>
    <x v="3"/>
    <n v="5"/>
    <n v="140"/>
    <n v="700"/>
    <x v="3"/>
  </r>
  <r>
    <s v="CCD1447"/>
    <s v="2025-10-27"/>
    <x v="0"/>
    <x v="5"/>
    <s v="India"/>
    <s v="CCD Beach Road"/>
    <x v="6"/>
    <x v="3"/>
    <n v="5"/>
    <n v="103"/>
    <n v="515"/>
    <x v="2"/>
  </r>
  <r>
    <s v="CCD1448"/>
    <s v="2025-09-06"/>
    <x v="8"/>
    <x v="2"/>
    <s v="India"/>
    <s v="CCD Mall"/>
    <x v="0"/>
    <x v="0"/>
    <n v="2"/>
    <n v="197"/>
    <n v="394"/>
    <x v="0"/>
  </r>
  <r>
    <s v="CCD1449"/>
    <s v="2025-06-02"/>
    <x v="9"/>
    <x v="5"/>
    <s v="India"/>
    <s v="CCD Beach Road"/>
    <x v="0"/>
    <x v="0"/>
    <n v="5"/>
    <n v="190"/>
    <n v="950"/>
    <x v="2"/>
  </r>
  <r>
    <s v="CCD1450"/>
    <s v="2025-06-14"/>
    <x v="9"/>
    <x v="5"/>
    <s v="India"/>
    <s v="CCD MG Road"/>
    <x v="4"/>
    <x v="3"/>
    <n v="3"/>
    <n v="237"/>
    <n v="711"/>
    <x v="3"/>
  </r>
  <r>
    <s v="CCD1451"/>
    <s v="2025-02-27"/>
    <x v="5"/>
    <x v="3"/>
    <s v="India"/>
    <s v="CCD MG Road"/>
    <x v="7"/>
    <x v="0"/>
    <n v="1"/>
    <n v="138"/>
    <n v="138"/>
    <x v="0"/>
  </r>
  <r>
    <s v="CCD1452"/>
    <s v="2025-06-12"/>
    <x v="9"/>
    <x v="4"/>
    <s v="India"/>
    <s v="CCD MG Road"/>
    <x v="3"/>
    <x v="0"/>
    <n v="4"/>
    <n v="213"/>
    <n v="852"/>
    <x v="2"/>
  </r>
  <r>
    <s v="CCD1453"/>
    <s v="2025-09-25"/>
    <x v="8"/>
    <x v="1"/>
    <s v="India"/>
    <s v="CCD Airport"/>
    <x v="8"/>
    <x v="2"/>
    <n v="1"/>
    <n v="249"/>
    <n v="249"/>
    <x v="1"/>
  </r>
  <r>
    <s v="CCD1454"/>
    <s v="2025-10-17"/>
    <x v="0"/>
    <x v="1"/>
    <s v="India"/>
    <s v="CCD Airport"/>
    <x v="7"/>
    <x v="0"/>
    <n v="1"/>
    <n v="140"/>
    <n v="140"/>
    <x v="3"/>
  </r>
  <r>
    <s v="CCD1455"/>
    <s v="2025-10-26"/>
    <x v="0"/>
    <x v="6"/>
    <s v="India"/>
    <s v="CCD Airport"/>
    <x v="7"/>
    <x v="0"/>
    <n v="4"/>
    <n v="160"/>
    <n v="640"/>
    <x v="1"/>
  </r>
  <r>
    <s v="CCD1456"/>
    <s v="2025-01-12"/>
    <x v="10"/>
    <x v="4"/>
    <s v="India"/>
    <s v="CCD Mall"/>
    <x v="6"/>
    <x v="3"/>
    <n v="1"/>
    <n v="121"/>
    <n v="121"/>
    <x v="0"/>
  </r>
  <r>
    <s v="CCD1457"/>
    <s v="2025-06-16"/>
    <x v="9"/>
    <x v="6"/>
    <s v="India"/>
    <s v="CCD MG Road"/>
    <x v="2"/>
    <x v="2"/>
    <n v="4"/>
    <n v="189"/>
    <n v="756"/>
    <x v="1"/>
  </r>
  <r>
    <s v="CCD1458"/>
    <s v="2025-02-06"/>
    <x v="5"/>
    <x v="4"/>
    <s v="India"/>
    <s v="CCD Beach Road"/>
    <x v="4"/>
    <x v="3"/>
    <n v="5"/>
    <n v="233"/>
    <n v="1165"/>
    <x v="1"/>
  </r>
  <r>
    <s v="CCD1459"/>
    <s v="2025-08-06"/>
    <x v="6"/>
    <x v="5"/>
    <s v="India"/>
    <s v="CCD MG Road"/>
    <x v="8"/>
    <x v="2"/>
    <n v="3"/>
    <n v="243"/>
    <n v="729"/>
    <x v="2"/>
  </r>
  <r>
    <s v="CCD1460"/>
    <s v="2025-12-08"/>
    <x v="4"/>
    <x v="5"/>
    <s v="India"/>
    <s v="CCD MG Road"/>
    <x v="6"/>
    <x v="3"/>
    <n v="1"/>
    <n v="136"/>
    <n v="136"/>
    <x v="3"/>
  </r>
  <r>
    <s v="CCD1461"/>
    <s v="2025-12-04"/>
    <x v="4"/>
    <x v="6"/>
    <s v="India"/>
    <s v="CCD Mall"/>
    <x v="4"/>
    <x v="3"/>
    <n v="4"/>
    <n v="204"/>
    <n v="816"/>
    <x v="3"/>
  </r>
  <r>
    <s v="CCD1462"/>
    <s v="2025-10-14"/>
    <x v="0"/>
    <x v="4"/>
    <s v="India"/>
    <s v="CCD IT Park"/>
    <x v="1"/>
    <x v="1"/>
    <n v="3"/>
    <n v="139"/>
    <n v="417"/>
    <x v="2"/>
  </r>
  <r>
    <s v="CCD1463"/>
    <s v="2025-12-12"/>
    <x v="4"/>
    <x v="3"/>
    <s v="India"/>
    <s v="CCD Beach Road"/>
    <x v="1"/>
    <x v="1"/>
    <n v="1"/>
    <n v="144"/>
    <n v="144"/>
    <x v="0"/>
  </r>
  <r>
    <s v="CCD1464"/>
    <s v="2025-09-08"/>
    <x v="8"/>
    <x v="5"/>
    <s v="India"/>
    <s v="CCD Beach Road"/>
    <x v="8"/>
    <x v="2"/>
    <n v="3"/>
    <n v="246"/>
    <n v="738"/>
    <x v="3"/>
  </r>
  <r>
    <s v="CCD1465"/>
    <s v="2025-05-31"/>
    <x v="2"/>
    <x v="2"/>
    <s v="India"/>
    <s v="CCD IT Park"/>
    <x v="1"/>
    <x v="1"/>
    <n v="4"/>
    <n v="126"/>
    <n v="504"/>
    <x v="3"/>
  </r>
  <r>
    <s v="CCD1466"/>
    <s v="2025-03-03"/>
    <x v="1"/>
    <x v="5"/>
    <s v="India"/>
    <s v="CCD Mall"/>
    <x v="6"/>
    <x v="3"/>
    <n v="4"/>
    <n v="113"/>
    <n v="452"/>
    <x v="0"/>
  </r>
  <r>
    <s v="CCD1467"/>
    <s v="2025-08-02"/>
    <x v="6"/>
    <x v="4"/>
    <s v="India"/>
    <s v="CCD Mall"/>
    <x v="1"/>
    <x v="1"/>
    <n v="1"/>
    <n v="151"/>
    <n v="151"/>
    <x v="0"/>
  </r>
  <r>
    <s v="CCD1468"/>
    <s v="2025-03-29"/>
    <x v="1"/>
    <x v="4"/>
    <s v="India"/>
    <s v="CCD Mall"/>
    <x v="3"/>
    <x v="0"/>
    <n v="1"/>
    <n v="206"/>
    <n v="206"/>
    <x v="2"/>
  </r>
  <r>
    <s v="CCD1469"/>
    <s v="2025-04-07"/>
    <x v="7"/>
    <x v="4"/>
    <s v="India"/>
    <s v="CCD Mall"/>
    <x v="3"/>
    <x v="0"/>
    <n v="3"/>
    <n v="199"/>
    <n v="597"/>
    <x v="2"/>
  </r>
  <r>
    <s v="CCD1470"/>
    <s v="2025-04-04"/>
    <x v="7"/>
    <x v="6"/>
    <s v="India"/>
    <s v="CCD MG Road"/>
    <x v="4"/>
    <x v="3"/>
    <n v="2"/>
    <n v="212"/>
    <n v="424"/>
    <x v="1"/>
  </r>
  <r>
    <s v="CCD1471"/>
    <s v="2025-09-04"/>
    <x v="8"/>
    <x v="3"/>
    <s v="India"/>
    <s v="CCD Beach Road"/>
    <x v="6"/>
    <x v="3"/>
    <n v="4"/>
    <n v="121"/>
    <n v="484"/>
    <x v="0"/>
  </r>
  <r>
    <s v="CCD1472"/>
    <s v="2025-08-06"/>
    <x v="6"/>
    <x v="4"/>
    <s v="India"/>
    <s v="CCD Mall"/>
    <x v="1"/>
    <x v="1"/>
    <n v="4"/>
    <n v="136"/>
    <n v="544"/>
    <x v="3"/>
  </r>
  <r>
    <s v="CCD1473"/>
    <s v="2025-05-14"/>
    <x v="2"/>
    <x v="4"/>
    <s v="India"/>
    <s v="CCD Beach Road"/>
    <x v="0"/>
    <x v="0"/>
    <n v="5"/>
    <n v="190"/>
    <n v="950"/>
    <x v="3"/>
  </r>
  <r>
    <s v="CCD1474"/>
    <s v="2025-11-20"/>
    <x v="11"/>
    <x v="0"/>
    <s v="India"/>
    <s v="CCD IT Park"/>
    <x v="9"/>
    <x v="1"/>
    <n v="3"/>
    <n v="165"/>
    <n v="495"/>
    <x v="2"/>
  </r>
  <r>
    <s v="CCD1475"/>
    <s v="2025-09-15"/>
    <x v="8"/>
    <x v="1"/>
    <s v="India"/>
    <s v="CCD IT Park"/>
    <x v="3"/>
    <x v="0"/>
    <n v="1"/>
    <n v="209"/>
    <n v="209"/>
    <x v="2"/>
  </r>
  <r>
    <s v="CCD1476"/>
    <s v="2025-12-03"/>
    <x v="4"/>
    <x v="3"/>
    <s v="India"/>
    <s v="CCD Airport"/>
    <x v="2"/>
    <x v="2"/>
    <n v="3"/>
    <n v="162"/>
    <n v="486"/>
    <x v="1"/>
  </r>
  <r>
    <s v="CCD1477"/>
    <s v="2025-03-17"/>
    <x v="1"/>
    <x v="2"/>
    <s v="India"/>
    <s v="CCD MG Road"/>
    <x v="9"/>
    <x v="1"/>
    <n v="4"/>
    <n v="147"/>
    <n v="588"/>
    <x v="1"/>
  </r>
  <r>
    <s v="CCD1478"/>
    <s v="2025-01-26"/>
    <x v="10"/>
    <x v="4"/>
    <s v="India"/>
    <s v="CCD Mall"/>
    <x v="1"/>
    <x v="1"/>
    <n v="1"/>
    <n v="129"/>
    <n v="129"/>
    <x v="1"/>
  </r>
  <r>
    <s v="CCD1479"/>
    <s v="2025-07-28"/>
    <x v="3"/>
    <x v="6"/>
    <s v="India"/>
    <s v="CCD Airport"/>
    <x v="0"/>
    <x v="0"/>
    <n v="1"/>
    <n v="172"/>
    <n v="172"/>
    <x v="0"/>
  </r>
  <r>
    <s v="CCD1480"/>
    <s v="2025-08-01"/>
    <x v="6"/>
    <x v="3"/>
    <s v="India"/>
    <s v="CCD Mall"/>
    <x v="6"/>
    <x v="3"/>
    <n v="4"/>
    <n v="100"/>
    <n v="400"/>
    <x v="1"/>
  </r>
  <r>
    <s v="CCD1481"/>
    <s v="2025-09-26"/>
    <x v="8"/>
    <x v="2"/>
    <s v="India"/>
    <s v="CCD MG Road"/>
    <x v="5"/>
    <x v="0"/>
    <n v="5"/>
    <n v="220"/>
    <n v="1100"/>
    <x v="2"/>
  </r>
  <r>
    <s v="CCD1482"/>
    <s v="2025-08-21"/>
    <x v="6"/>
    <x v="3"/>
    <s v="India"/>
    <s v="CCD Beach Road"/>
    <x v="9"/>
    <x v="1"/>
    <n v="5"/>
    <n v="152"/>
    <n v="760"/>
    <x v="2"/>
  </r>
  <r>
    <s v="CCD1483"/>
    <s v="2025-03-27"/>
    <x v="1"/>
    <x v="1"/>
    <s v="India"/>
    <s v="CCD Mall"/>
    <x v="0"/>
    <x v="0"/>
    <n v="2"/>
    <n v="183"/>
    <n v="366"/>
    <x v="2"/>
  </r>
  <r>
    <s v="CCD1484"/>
    <s v="2025-10-05"/>
    <x v="0"/>
    <x v="3"/>
    <s v="India"/>
    <s v="CCD Mall"/>
    <x v="7"/>
    <x v="0"/>
    <n v="4"/>
    <n v="161"/>
    <n v="644"/>
    <x v="1"/>
  </r>
  <r>
    <s v="CCD1485"/>
    <s v="2025-01-04"/>
    <x v="10"/>
    <x v="5"/>
    <s v="India"/>
    <s v="CCD MG Road"/>
    <x v="0"/>
    <x v="0"/>
    <n v="5"/>
    <n v="171"/>
    <n v="855"/>
    <x v="3"/>
  </r>
  <r>
    <s v="CCD1486"/>
    <s v="2025-09-24"/>
    <x v="8"/>
    <x v="5"/>
    <s v="India"/>
    <s v="CCD Airport"/>
    <x v="8"/>
    <x v="2"/>
    <n v="3"/>
    <n v="235"/>
    <n v="705"/>
    <x v="2"/>
  </r>
  <r>
    <s v="CCD1487"/>
    <s v="2025-02-06"/>
    <x v="5"/>
    <x v="5"/>
    <s v="India"/>
    <s v="CCD Mall"/>
    <x v="2"/>
    <x v="2"/>
    <n v="2"/>
    <n v="158"/>
    <n v="316"/>
    <x v="1"/>
  </r>
  <r>
    <s v="CCD1488"/>
    <s v="2025-03-04"/>
    <x v="1"/>
    <x v="0"/>
    <s v="India"/>
    <s v="CCD Mall"/>
    <x v="3"/>
    <x v="0"/>
    <n v="2"/>
    <n v="198"/>
    <n v="396"/>
    <x v="0"/>
  </r>
  <r>
    <s v="CCD1489"/>
    <s v="2025-10-02"/>
    <x v="0"/>
    <x v="2"/>
    <s v="India"/>
    <s v="CCD MG Road"/>
    <x v="2"/>
    <x v="2"/>
    <n v="5"/>
    <n v="179"/>
    <n v="895"/>
    <x v="3"/>
  </r>
  <r>
    <s v="CCD1490"/>
    <s v="2025-06-27"/>
    <x v="9"/>
    <x v="6"/>
    <s v="India"/>
    <s v="CCD Beach Road"/>
    <x v="2"/>
    <x v="2"/>
    <n v="3"/>
    <n v="159"/>
    <n v="477"/>
    <x v="0"/>
  </r>
  <r>
    <s v="CCD1491"/>
    <s v="2025-01-28"/>
    <x v="10"/>
    <x v="3"/>
    <s v="India"/>
    <s v="CCD Mall"/>
    <x v="7"/>
    <x v="0"/>
    <n v="1"/>
    <n v="137"/>
    <n v="137"/>
    <x v="2"/>
  </r>
  <r>
    <s v="CCD1492"/>
    <s v="2025-12-08"/>
    <x v="4"/>
    <x v="2"/>
    <s v="India"/>
    <s v="CCD Mall"/>
    <x v="6"/>
    <x v="3"/>
    <n v="4"/>
    <n v="140"/>
    <n v="560"/>
    <x v="1"/>
  </r>
  <r>
    <s v="CCD1493"/>
    <s v="2025-06-30"/>
    <x v="9"/>
    <x v="6"/>
    <s v="India"/>
    <s v="CCD Beach Road"/>
    <x v="6"/>
    <x v="3"/>
    <n v="4"/>
    <n v="112"/>
    <n v="448"/>
    <x v="3"/>
  </r>
  <r>
    <s v="CCD1494"/>
    <s v="2025-11-02"/>
    <x v="11"/>
    <x v="2"/>
    <s v="India"/>
    <s v="CCD Airport"/>
    <x v="5"/>
    <x v="0"/>
    <n v="3"/>
    <n v="215"/>
    <n v="645"/>
    <x v="1"/>
  </r>
  <r>
    <s v="CCD1495"/>
    <s v="2025-02-08"/>
    <x v="5"/>
    <x v="0"/>
    <s v="India"/>
    <s v="CCD Beach Road"/>
    <x v="5"/>
    <x v="0"/>
    <n v="1"/>
    <n v="202"/>
    <n v="202"/>
    <x v="2"/>
  </r>
  <r>
    <s v="CCD1496"/>
    <s v="2025-06-22"/>
    <x v="9"/>
    <x v="1"/>
    <s v="India"/>
    <s v="CCD Mall"/>
    <x v="4"/>
    <x v="3"/>
    <n v="4"/>
    <n v="217"/>
    <n v="868"/>
    <x v="0"/>
  </r>
  <r>
    <s v="CCD1497"/>
    <s v="2025-09-01"/>
    <x v="8"/>
    <x v="2"/>
    <s v="India"/>
    <s v="CCD Mall"/>
    <x v="7"/>
    <x v="0"/>
    <n v="5"/>
    <n v="147"/>
    <n v="735"/>
    <x v="3"/>
  </r>
  <r>
    <s v="CCD1498"/>
    <s v="2025-02-14"/>
    <x v="5"/>
    <x v="5"/>
    <s v="India"/>
    <s v="CCD IT Park"/>
    <x v="2"/>
    <x v="2"/>
    <n v="3"/>
    <n v="160"/>
    <n v="480"/>
    <x v="2"/>
  </r>
  <r>
    <s v="CCD1499"/>
    <s v="2025-06-27"/>
    <x v="9"/>
    <x v="2"/>
    <s v="India"/>
    <s v="CCD Airport"/>
    <x v="9"/>
    <x v="1"/>
    <n v="2"/>
    <n v="178"/>
    <n v="35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EF4D3E-516D-4CCC-BFB4-2C96C9D8107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A34:B45" firstHeaderRow="1" firstDataRow="1" firstDataCol="1"/>
  <pivotFields count="12">
    <pivotField showAll="0"/>
    <pivotField showAll="0"/>
    <pivotField showAll="0"/>
    <pivotField showAll="0"/>
    <pivotField showAll="0"/>
    <pivotField showAll="0"/>
    <pivotField axis="axisRow" showAll="0" sortType="ascending">
      <items count="11">
        <item x="9"/>
        <item x="0"/>
        <item x="4"/>
        <item x="7"/>
        <item x="2"/>
        <item x="3"/>
        <item x="5"/>
        <item x="1"/>
        <item x="8"/>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6"/>
  </rowFields>
  <rowItems count="11">
    <i>
      <x v="9"/>
    </i>
    <i>
      <x v="7"/>
    </i>
    <i>
      <x v="3"/>
    </i>
    <i>
      <x/>
    </i>
    <i>
      <x v="1"/>
    </i>
    <i>
      <x v="4"/>
    </i>
    <i>
      <x v="6"/>
    </i>
    <i>
      <x v="5"/>
    </i>
    <i>
      <x v="8"/>
    </i>
    <i>
      <x v="2"/>
    </i>
    <i t="grand">
      <x/>
    </i>
  </rowItems>
  <colItems count="1">
    <i/>
  </colItems>
  <dataFields count="1">
    <dataField name="Sum of Sales" fld="10" baseField="0" baseItem="0"/>
  </dataFields>
  <chartFormats count="1">
    <chartFormat chart="8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92C1F2-881F-441B-BDD0-12671041B36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12:B23" firstHeaderRow="1" firstDataRow="1" firstDataCol="1"/>
  <pivotFields count="12">
    <pivotField showAll="0"/>
    <pivotField showAll="0"/>
    <pivotField showAll="0"/>
    <pivotField showAll="0">
      <items count="8">
        <item x="3"/>
        <item x="6"/>
        <item x="1"/>
        <item x="2"/>
        <item x="4"/>
        <item x="5"/>
        <item x="0"/>
        <item t="default"/>
      </items>
    </pivotField>
    <pivotField showAll="0"/>
    <pivotField showAll="0"/>
    <pivotField axis="axisRow"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6"/>
  </rowFields>
  <rowItems count="11">
    <i>
      <x/>
    </i>
    <i>
      <x v="1"/>
    </i>
    <i>
      <x v="2"/>
    </i>
    <i>
      <x v="3"/>
    </i>
    <i>
      <x v="4"/>
    </i>
    <i>
      <x v="5"/>
    </i>
    <i>
      <x v="6"/>
    </i>
    <i>
      <x v="7"/>
    </i>
    <i>
      <x v="8"/>
    </i>
    <i>
      <x v="9"/>
    </i>
    <i t="grand">
      <x/>
    </i>
  </rowItems>
  <colItems count="1">
    <i/>
  </colItems>
  <dataFields count="1">
    <dataField name="Sum of Sales" fld="10" baseField="0" baseItem="0"/>
  </dataFields>
  <formats count="1">
    <format dxfId="4">
      <pivotArea collapsedLevelsAreSubtotals="1" fieldPosition="0">
        <references count="2">
          <reference field="4294967294" count="1" selected="0">
            <x v="0"/>
          </reference>
          <reference field="6" count="0"/>
        </references>
      </pivotArea>
    </format>
  </formats>
  <chartFormats count="3">
    <chartFormat chart="4"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949872-55DA-4621-94FD-E27943AE9D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12">
    <pivotField showAll="0"/>
    <pivotField showAll="0"/>
    <pivotField showAll="0"/>
    <pivotField showAll="0"/>
    <pivotField showAll="0"/>
    <pivotField showAll="0"/>
    <pivotField showAll="0">
      <items count="11">
        <item x="9"/>
        <item x="0"/>
        <item x="4"/>
        <item x="7"/>
        <item x="2"/>
        <item x="3"/>
        <item x="5"/>
        <item x="1"/>
        <item x="8"/>
        <item x="6"/>
        <item t="default"/>
      </items>
    </pivotField>
    <pivotField axis="axisRow" showAll="0">
      <items count="5">
        <item x="3"/>
        <item x="0"/>
        <item x="1"/>
        <item x="2"/>
        <item t="default"/>
      </items>
    </pivotField>
    <pivotField showAll="0"/>
    <pivotField showAll="0"/>
    <pivotField dataField="1" showAll="0"/>
    <pivotField showAll="0"/>
  </pivotFields>
  <rowFields count="1">
    <field x="7"/>
  </rowFields>
  <rowItems count="5">
    <i>
      <x/>
    </i>
    <i>
      <x v="1"/>
    </i>
    <i>
      <x v="2"/>
    </i>
    <i>
      <x v="3"/>
    </i>
    <i t="grand">
      <x/>
    </i>
  </rowItems>
  <colItems count="1">
    <i/>
  </colItems>
  <dataFields count="1">
    <dataField name="Sum of Sales" fld="10"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7" count="1" selected="0">
            <x v="0"/>
          </reference>
        </references>
      </pivotArea>
    </chartFormat>
    <chartFormat chart="8" format="8">
      <pivotArea type="data" outline="0" fieldPosition="0">
        <references count="2">
          <reference field="4294967294" count="1" selected="0">
            <x v="0"/>
          </reference>
          <reference field="7" count="1" selected="0">
            <x v="1"/>
          </reference>
        </references>
      </pivotArea>
    </chartFormat>
    <chartFormat chart="8" format="9">
      <pivotArea type="data" outline="0" fieldPosition="0">
        <references count="2">
          <reference field="4294967294" count="1" selected="0">
            <x v="0"/>
          </reference>
          <reference field="7" count="1" selected="0">
            <x v="2"/>
          </reference>
        </references>
      </pivotArea>
    </chartFormat>
    <chartFormat chart="8"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817635-5B6F-477D-9791-5E6FE428503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26:B31" firstHeaderRow="1" firstDataRow="1" firstDataCol="1"/>
  <pivotFields count="12">
    <pivotField dataField="1" showAll="0"/>
    <pivotField showAll="0"/>
    <pivotField showAll="0"/>
    <pivotField showAll="0"/>
    <pivotField showAll="0"/>
    <pivotField showAll="0"/>
    <pivotField showAll="0">
      <items count="11">
        <item x="9"/>
        <item x="0"/>
        <item x="4"/>
        <item x="7"/>
        <item x="2"/>
        <item x="3"/>
        <item x="5"/>
        <item x="1"/>
        <item x="8"/>
        <item x="6"/>
        <item t="default"/>
      </items>
    </pivotField>
    <pivotField showAll="0"/>
    <pivotField showAll="0"/>
    <pivotField showAll="0"/>
    <pivotField showAll="0"/>
    <pivotField axis="axisRow" showAll="0">
      <items count="5">
        <item x="0"/>
        <item x="1"/>
        <item x="3"/>
        <item x="2"/>
        <item t="default"/>
      </items>
    </pivotField>
  </pivotFields>
  <rowFields count="1">
    <field x="11"/>
  </rowFields>
  <rowItems count="5">
    <i>
      <x/>
    </i>
    <i>
      <x v="1"/>
    </i>
    <i>
      <x v="2"/>
    </i>
    <i>
      <x v="3"/>
    </i>
    <i t="grand">
      <x/>
    </i>
  </rowItems>
  <colItems count="1">
    <i/>
  </colItems>
  <dataFields count="1">
    <dataField name="Count of Order_ID" fld="0" subtotal="count" baseField="0" baseItem="0"/>
  </dataFields>
  <chartFormats count="7">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11" count="1" selected="0">
            <x v="3"/>
          </reference>
        </references>
      </pivotArea>
    </chartFormat>
    <chartFormat chart="36" format="2">
      <pivotArea type="data" outline="0" fieldPosition="0">
        <references count="2">
          <reference field="4294967294" count="1" selected="0">
            <x v="0"/>
          </reference>
          <reference field="11" count="1" selected="0">
            <x v="2"/>
          </reference>
        </references>
      </pivotArea>
    </chartFormat>
    <chartFormat chart="36" format="3">
      <pivotArea type="data" outline="0" fieldPosition="0">
        <references count="2">
          <reference field="4294967294" count="1" selected="0">
            <x v="0"/>
          </reference>
          <reference field="11" count="1" selected="0">
            <x v="0"/>
          </reference>
        </references>
      </pivotArea>
    </chartFormat>
    <chartFormat chart="39" format="7" series="1">
      <pivotArea type="data" outline="0" fieldPosition="0">
        <references count="1">
          <reference field="4294967294" count="1" selected="0">
            <x v="0"/>
          </reference>
        </references>
      </pivotArea>
    </chartFormat>
    <chartFormat chart="39" format="8">
      <pivotArea type="data" outline="0" fieldPosition="0">
        <references count="2">
          <reference field="4294967294" count="1" selected="0">
            <x v="0"/>
          </reference>
          <reference field="11" count="1" selected="0">
            <x v="0"/>
          </reference>
        </references>
      </pivotArea>
    </chartFormat>
    <chartFormat chart="39" format="9">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8E422D-91AD-4FD4-9E94-21131406B8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B18" firstHeaderRow="1" firstDataRow="1" firstDataCol="1"/>
  <pivotFields count="12">
    <pivotField showAll="0"/>
    <pivotField showAll="0"/>
    <pivotField showAll="0"/>
    <pivotField showAll="0"/>
    <pivotField showAll="0"/>
    <pivotField showAll="0"/>
    <pivotField axis="axisRow"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6"/>
  </rowFields>
  <rowItems count="11">
    <i>
      <x/>
    </i>
    <i>
      <x v="1"/>
    </i>
    <i>
      <x v="2"/>
    </i>
    <i>
      <x v="3"/>
    </i>
    <i>
      <x v="4"/>
    </i>
    <i>
      <x v="5"/>
    </i>
    <i>
      <x v="6"/>
    </i>
    <i>
      <x v="7"/>
    </i>
    <i>
      <x v="8"/>
    </i>
    <i>
      <x v="9"/>
    </i>
    <i t="grand">
      <x/>
    </i>
  </rowItems>
  <colItems count="1">
    <i/>
  </colItems>
  <dataFields count="1">
    <dataField name="Sum of Sales" fld="10" baseField="0" baseItem="0" numFmtId="164"/>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D14387-0013-4526-913F-F8F7335A56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2">
    <pivotField dataField="1" showAll="0"/>
    <pivotField showAll="0"/>
    <pivotField showAll="0"/>
    <pivotField showAll="0"/>
    <pivotField showAll="0"/>
    <pivotField showAll="0"/>
    <pivotField showAll="0">
      <items count="11">
        <item x="9"/>
        <item x="0"/>
        <item x="4"/>
        <item x="7"/>
        <item x="2"/>
        <item x="3"/>
        <item x="5"/>
        <item x="1"/>
        <item x="8"/>
        <item x="6"/>
        <item t="default"/>
      </items>
    </pivotField>
    <pivotField showAll="0"/>
    <pivotField showAll="0"/>
    <pivotField showAll="0"/>
    <pivotField dataField="1" showAll="0"/>
    <pivotField showAll="0"/>
  </pivotFields>
  <rowItems count="1">
    <i/>
  </rowItems>
  <colFields count="1">
    <field x="-2"/>
  </colFields>
  <colItems count="2">
    <i>
      <x/>
    </i>
    <i i="1">
      <x v="1"/>
    </i>
  </colItems>
  <dataFields count="2">
    <dataField name="Sum of Sales" fld="10" baseField="0" baseItem="0"/>
    <dataField name="Count of Order_ID" fld="0" subtotal="count" baseField="0" baseItem="0"/>
  </dataFields>
  <formats count="1">
    <format dxfId="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E7D11E-63A6-4855-BCDB-E85FD836663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21:B34" firstHeaderRow="1" firstDataRow="1" firstDataCol="1"/>
  <pivotFields count="12">
    <pivotField showAll="0"/>
    <pivotField showAll="0"/>
    <pivotField axis="axisRow" showAll="0">
      <items count="13">
        <item x="10"/>
        <item x="5"/>
        <item x="1"/>
        <item x="7"/>
        <item x="2"/>
        <item x="9"/>
        <item x="3"/>
        <item x="6"/>
        <item x="8"/>
        <item x="0"/>
        <item x="11"/>
        <item x="4"/>
        <item t="default"/>
      </items>
    </pivotField>
    <pivotField showAll="0"/>
    <pivotField showAll="0"/>
    <pivotField showAll="0"/>
    <pivotField showAll="0">
      <items count="11">
        <item x="9"/>
        <item x="0"/>
        <item x="4"/>
        <item x="7"/>
        <item x="2"/>
        <item x="3"/>
        <item x="5"/>
        <item x="1"/>
        <item x="8"/>
        <item x="6"/>
        <item t="default"/>
      </items>
    </pivotField>
    <pivotField showAll="0"/>
    <pivotField showAll="0"/>
    <pivotField showAll="0"/>
    <pivotField dataField="1"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0" baseField="0" baseItem="0" numFmtId="164"/>
  </dataFields>
  <formats count="1">
    <format dxfId="3">
      <pivotArea outline="0" collapsedLevelsAreSubtotals="1" fieldPosition="0"/>
    </format>
  </formats>
  <chartFormats count="4">
    <chartFormat chart="45" format="2"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1"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0A3D17C-10F3-4DC5-9753-30A595A16FA4}" sourceName="Product">
  <pivotTables>
    <pivotTable tabId="4" name="PivotTable2"/>
    <pivotTable tabId="4" name="PivotTable3"/>
    <pivotTable tabId="5" name="PivotTable2"/>
    <pivotTable tabId="5" name="PivotTable9"/>
    <pivotTable tabId="5" name="PivotTable11"/>
    <pivotTable tabId="4" name="PivotTable1"/>
    <pivotTable tabId="5" name="PivotTable10"/>
  </pivotTables>
  <data>
    <tabular pivotCacheId="1177411258">
      <items count="10">
        <i x="9" s="1"/>
        <i x="0" s="1"/>
        <i x="4" s="1"/>
        <i x="7" s="1"/>
        <i x="2" s="1"/>
        <i x="3" s="1"/>
        <i x="5" s="1"/>
        <i x="1" s="1"/>
        <i x="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193CA4D-1597-493B-9D76-892517CA09AC}" sourceName="State">
  <pivotTables>
    <pivotTable tabId="5" name="PivotTable10"/>
  </pivotTables>
  <data>
    <tabular pivotCacheId="1177411258">
      <items count="7">
        <i x="3" s="1"/>
        <i x="6" s="1"/>
        <i x="1" s="1"/>
        <i x="2" s="1"/>
        <i x="4"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EF05A9B-730C-4C5C-ACCE-D5010B512BA0}" cache="Slicer_Product" caption="Product" columnCount="10" rowHeight="234950"/>
  <slicer name="State" xr10:uid="{A66AC3F9-EE06-45EF-AF3B-7D567910A572}" cache="Slicer_State" caption="State" columnCount="2" rowHeight="234950"/>
</slicers>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7F12-C901-46F2-8062-6B183186D583}">
  <dimension ref="A3:B45"/>
  <sheetViews>
    <sheetView workbookViewId="0">
      <selection activeCell="A12" sqref="A12"/>
    </sheetView>
  </sheetViews>
  <sheetFormatPr defaultRowHeight="14.4" x14ac:dyDescent="0.3"/>
  <cols>
    <col min="1" max="1" width="12.5546875" bestFit="1" customWidth="1"/>
    <col min="2" max="2" width="11.6640625" bestFit="1" customWidth="1"/>
    <col min="3" max="3" width="14.88671875" bestFit="1" customWidth="1"/>
  </cols>
  <sheetData>
    <row r="3" spans="1:2" x14ac:dyDescent="0.3">
      <c r="A3" s="7" t="s">
        <v>822</v>
      </c>
      <c r="B3" t="s">
        <v>820</v>
      </c>
    </row>
    <row r="4" spans="1:2" x14ac:dyDescent="0.3">
      <c r="A4" s="8" t="s">
        <v>43</v>
      </c>
      <c r="B4">
        <v>52615</v>
      </c>
    </row>
    <row r="5" spans="1:2" x14ac:dyDescent="0.3">
      <c r="A5" s="8" t="s">
        <v>14</v>
      </c>
      <c r="B5">
        <v>109436</v>
      </c>
    </row>
    <row r="6" spans="1:2" x14ac:dyDescent="0.3">
      <c r="A6" s="8" t="s">
        <v>20</v>
      </c>
      <c r="B6">
        <v>42532</v>
      </c>
    </row>
    <row r="7" spans="1:2" x14ac:dyDescent="0.3">
      <c r="A7" s="8" t="s">
        <v>27</v>
      </c>
      <c r="B7">
        <v>61973</v>
      </c>
    </row>
    <row r="8" spans="1:2" x14ac:dyDescent="0.3">
      <c r="A8" s="8" t="s">
        <v>823</v>
      </c>
      <c r="B8">
        <v>266556</v>
      </c>
    </row>
    <row r="12" spans="1:2" x14ac:dyDescent="0.3">
      <c r="A12" s="7" t="s">
        <v>822</v>
      </c>
      <c r="B12" t="s">
        <v>820</v>
      </c>
    </row>
    <row r="13" spans="1:2" x14ac:dyDescent="0.3">
      <c r="A13" s="8" t="s">
        <v>79</v>
      </c>
      <c r="B13" s="6">
        <v>23480</v>
      </c>
    </row>
    <row r="14" spans="1:2" x14ac:dyDescent="0.3">
      <c r="A14" s="8" t="s">
        <v>13</v>
      </c>
      <c r="B14" s="6">
        <v>27275</v>
      </c>
    </row>
    <row r="15" spans="1:2" x14ac:dyDescent="0.3">
      <c r="A15" s="8" t="s">
        <v>42</v>
      </c>
      <c r="B15" s="6">
        <v>36103</v>
      </c>
    </row>
    <row r="16" spans="1:2" x14ac:dyDescent="0.3">
      <c r="A16" s="8" t="s">
        <v>69</v>
      </c>
      <c r="B16" s="6">
        <v>19566</v>
      </c>
    </row>
    <row r="17" spans="1:2" x14ac:dyDescent="0.3">
      <c r="A17" s="8" t="s">
        <v>26</v>
      </c>
      <c r="B17" s="6">
        <v>27774</v>
      </c>
    </row>
    <row r="18" spans="1:2" x14ac:dyDescent="0.3">
      <c r="A18" s="8" t="s">
        <v>31</v>
      </c>
      <c r="B18" s="6">
        <v>32806</v>
      </c>
    </row>
    <row r="19" spans="1:2" x14ac:dyDescent="0.3">
      <c r="A19" s="8" t="s">
        <v>57</v>
      </c>
      <c r="B19" s="6">
        <v>29789</v>
      </c>
    </row>
    <row r="20" spans="1:2" x14ac:dyDescent="0.3">
      <c r="A20" s="8" t="s">
        <v>19</v>
      </c>
      <c r="B20" s="6">
        <v>19052</v>
      </c>
    </row>
    <row r="21" spans="1:2" x14ac:dyDescent="0.3">
      <c r="A21" s="8" t="s">
        <v>74</v>
      </c>
      <c r="B21" s="6">
        <v>34199</v>
      </c>
    </row>
    <row r="22" spans="1:2" x14ac:dyDescent="0.3">
      <c r="A22" s="8" t="s">
        <v>66</v>
      </c>
      <c r="B22" s="6">
        <v>16512</v>
      </c>
    </row>
    <row r="23" spans="1:2" x14ac:dyDescent="0.3">
      <c r="A23" s="8" t="s">
        <v>823</v>
      </c>
      <c r="B23">
        <v>266556</v>
      </c>
    </row>
    <row r="26" spans="1:2" x14ac:dyDescent="0.3">
      <c r="A26" s="7" t="s">
        <v>822</v>
      </c>
      <c r="B26" t="s">
        <v>821</v>
      </c>
    </row>
    <row r="27" spans="1:2" x14ac:dyDescent="0.3">
      <c r="A27" s="8" t="s">
        <v>15</v>
      </c>
      <c r="B27">
        <v>119</v>
      </c>
    </row>
    <row r="28" spans="1:2" x14ac:dyDescent="0.3">
      <c r="A28" s="8" t="s">
        <v>21</v>
      </c>
      <c r="B28">
        <v>123</v>
      </c>
    </row>
    <row r="29" spans="1:2" x14ac:dyDescent="0.3">
      <c r="A29" s="8" t="s">
        <v>38</v>
      </c>
      <c r="B29">
        <v>118</v>
      </c>
    </row>
    <row r="30" spans="1:2" x14ac:dyDescent="0.3">
      <c r="A30" s="8" t="s">
        <v>32</v>
      </c>
      <c r="B30">
        <v>140</v>
      </c>
    </row>
    <row r="31" spans="1:2" x14ac:dyDescent="0.3">
      <c r="A31" s="8" t="s">
        <v>823</v>
      </c>
      <c r="B31">
        <v>500</v>
      </c>
    </row>
    <row r="34" spans="1:2" x14ac:dyDescent="0.3">
      <c r="A34" s="7" t="s">
        <v>822</v>
      </c>
      <c r="B34" t="s">
        <v>820</v>
      </c>
    </row>
    <row r="35" spans="1:2" x14ac:dyDescent="0.3">
      <c r="A35" s="8" t="s">
        <v>66</v>
      </c>
      <c r="B35">
        <v>16512</v>
      </c>
    </row>
    <row r="36" spans="1:2" x14ac:dyDescent="0.3">
      <c r="A36" s="8" t="s">
        <v>19</v>
      </c>
      <c r="B36">
        <v>19052</v>
      </c>
    </row>
    <row r="37" spans="1:2" x14ac:dyDescent="0.3">
      <c r="A37" s="8" t="s">
        <v>69</v>
      </c>
      <c r="B37">
        <v>19566</v>
      </c>
    </row>
    <row r="38" spans="1:2" x14ac:dyDescent="0.3">
      <c r="A38" s="8" t="s">
        <v>79</v>
      </c>
      <c r="B38">
        <v>23480</v>
      </c>
    </row>
    <row r="39" spans="1:2" x14ac:dyDescent="0.3">
      <c r="A39" s="8" t="s">
        <v>13</v>
      </c>
      <c r="B39">
        <v>27275</v>
      </c>
    </row>
    <row r="40" spans="1:2" x14ac:dyDescent="0.3">
      <c r="A40" s="8" t="s">
        <v>26</v>
      </c>
      <c r="B40">
        <v>27774</v>
      </c>
    </row>
    <row r="41" spans="1:2" x14ac:dyDescent="0.3">
      <c r="A41" s="8" t="s">
        <v>57</v>
      </c>
      <c r="B41">
        <v>29789</v>
      </c>
    </row>
    <row r="42" spans="1:2" x14ac:dyDescent="0.3">
      <c r="A42" s="8" t="s">
        <v>31</v>
      </c>
      <c r="B42">
        <v>32806</v>
      </c>
    </row>
    <row r="43" spans="1:2" x14ac:dyDescent="0.3">
      <c r="A43" s="8" t="s">
        <v>74</v>
      </c>
      <c r="B43">
        <v>34199</v>
      </c>
    </row>
    <row r="44" spans="1:2" x14ac:dyDescent="0.3">
      <c r="A44" s="8" t="s">
        <v>42</v>
      </c>
      <c r="B44">
        <v>36103</v>
      </c>
    </row>
    <row r="45" spans="1:2" x14ac:dyDescent="0.3">
      <c r="A45" s="8" t="s">
        <v>823</v>
      </c>
      <c r="B45">
        <v>266556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2BB4-11F4-4B14-8BBC-8B187DCA839C}">
  <dimension ref="A1"/>
  <sheetViews>
    <sheetView workbookViewId="0">
      <selection activeCell="G12" sqref="G12"/>
    </sheetView>
  </sheetViews>
  <sheetFormatPr defaultRowHeight="14.4" x14ac:dyDescent="0.3"/>
  <cols>
    <col min="1" max="1" width="4.21875" customWidth="1"/>
    <col min="2" max="2" width="13.88671875" customWidth="1"/>
    <col min="3" max="3" width="4.21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1"/>
  <sheetViews>
    <sheetView showGridLines="0" tabSelected="1" workbookViewId="0">
      <selection activeCell="R14" sqref="R14"/>
    </sheetView>
  </sheetViews>
  <sheetFormatPr defaultRowHeight="14.4" x14ac:dyDescent="0.3"/>
  <cols>
    <col min="1" max="1" width="8.44140625" style="1" bestFit="1" customWidth="1"/>
    <col min="2" max="2" width="10.33203125" style="1" bestFit="1" customWidth="1"/>
    <col min="3" max="3" width="10.33203125" style="1" customWidth="1"/>
    <col min="4" max="4" width="13.5546875" style="1" bestFit="1" customWidth="1"/>
    <col min="5" max="5" width="13.5546875" style="1" customWidth="1"/>
    <col min="6" max="6" width="14.6640625" style="1" bestFit="1" customWidth="1"/>
    <col min="7" max="7" width="10.6640625" style="1" bestFit="1" customWidth="1"/>
    <col min="8" max="8" width="8.5546875" style="1" bestFit="1" customWidth="1"/>
    <col min="9" max="9" width="8" style="1" bestFit="1" customWidth="1"/>
    <col min="10" max="10" width="9.44140625" style="1" bestFit="1" customWidth="1"/>
    <col min="11" max="11" width="5.109375" style="1" bestFit="1" customWidth="1"/>
    <col min="12" max="12" width="14" style="1" bestFit="1" customWidth="1"/>
    <col min="13" max="16384" width="8.88671875" style="1"/>
  </cols>
  <sheetData>
    <row r="1" spans="1:12" x14ac:dyDescent="0.3">
      <c r="A1" s="2" t="s">
        <v>0</v>
      </c>
      <c r="B1" s="2" t="s">
        <v>1</v>
      </c>
      <c r="C1" s="2" t="s">
        <v>824</v>
      </c>
      <c r="D1" s="2" t="s">
        <v>837</v>
      </c>
      <c r="E1" s="2" t="s">
        <v>838</v>
      </c>
      <c r="F1" s="2" t="s">
        <v>2</v>
      </c>
      <c r="G1" s="2" t="s">
        <v>3</v>
      </c>
      <c r="H1" s="2" t="s">
        <v>4</v>
      </c>
      <c r="I1" s="2" t="s">
        <v>5</v>
      </c>
      <c r="J1" s="2" t="s">
        <v>6</v>
      </c>
      <c r="K1" s="2" t="s">
        <v>7</v>
      </c>
      <c r="L1" s="2" t="s">
        <v>8</v>
      </c>
    </row>
    <row r="2" spans="1:12" x14ac:dyDescent="0.3">
      <c r="A2" s="3" t="s">
        <v>9</v>
      </c>
      <c r="B2" s="3" t="s">
        <v>10</v>
      </c>
      <c r="C2" s="13" t="str">
        <f>TEXT(B2,"mmmm")</f>
        <v>October</v>
      </c>
      <c r="D2" s="3" t="s">
        <v>11</v>
      </c>
      <c r="E2" s="14" t="s">
        <v>839</v>
      </c>
      <c r="F2" s="3" t="s">
        <v>12</v>
      </c>
      <c r="G2" s="3" t="s">
        <v>13</v>
      </c>
      <c r="H2" s="3" t="s">
        <v>14</v>
      </c>
      <c r="I2" s="3">
        <v>5</v>
      </c>
      <c r="J2" s="3">
        <v>167</v>
      </c>
      <c r="K2" s="3">
        <v>835</v>
      </c>
      <c r="L2" s="3" t="s">
        <v>15</v>
      </c>
    </row>
    <row r="3" spans="1:12" x14ac:dyDescent="0.3">
      <c r="A3" s="3" t="s">
        <v>16</v>
      </c>
      <c r="B3" s="3" t="s">
        <v>17</v>
      </c>
      <c r="C3" s="13" t="str">
        <f t="shared" ref="C3:C66" si="0">TEXT(B3,"mmmm")</f>
        <v>October</v>
      </c>
      <c r="D3" s="3" t="s">
        <v>18</v>
      </c>
      <c r="E3" s="14" t="s">
        <v>839</v>
      </c>
      <c r="F3" s="3" t="s">
        <v>12</v>
      </c>
      <c r="G3" s="3" t="s">
        <v>19</v>
      </c>
      <c r="H3" s="3" t="s">
        <v>20</v>
      </c>
      <c r="I3" s="3">
        <v>3</v>
      </c>
      <c r="J3" s="3">
        <v>144</v>
      </c>
      <c r="K3" s="3">
        <v>432</v>
      </c>
      <c r="L3" s="3" t="s">
        <v>21</v>
      </c>
    </row>
    <row r="4" spans="1:12" x14ac:dyDescent="0.3">
      <c r="A4" s="3" t="s">
        <v>22</v>
      </c>
      <c r="B4" s="3" t="s">
        <v>23</v>
      </c>
      <c r="C4" s="13" t="str">
        <f t="shared" si="0"/>
        <v>March</v>
      </c>
      <c r="D4" s="3" t="s">
        <v>24</v>
      </c>
      <c r="E4" s="14" t="s">
        <v>839</v>
      </c>
      <c r="F4" s="3" t="s">
        <v>25</v>
      </c>
      <c r="G4" s="3" t="s">
        <v>26</v>
      </c>
      <c r="H4" s="3" t="s">
        <v>27</v>
      </c>
      <c r="I4" s="3">
        <v>4</v>
      </c>
      <c r="J4" s="3">
        <v>183</v>
      </c>
      <c r="K4" s="3">
        <v>732</v>
      </c>
      <c r="L4" s="3" t="s">
        <v>21</v>
      </c>
    </row>
    <row r="5" spans="1:12" x14ac:dyDescent="0.3">
      <c r="A5" s="3" t="s">
        <v>28</v>
      </c>
      <c r="B5" s="3" t="s">
        <v>29</v>
      </c>
      <c r="C5" s="13" t="str">
        <f t="shared" si="0"/>
        <v>May</v>
      </c>
      <c r="D5" s="3" t="s">
        <v>11</v>
      </c>
      <c r="E5" s="14" t="s">
        <v>839</v>
      </c>
      <c r="F5" s="3" t="s">
        <v>30</v>
      </c>
      <c r="G5" s="3" t="s">
        <v>31</v>
      </c>
      <c r="H5" s="3" t="s">
        <v>14</v>
      </c>
      <c r="I5" s="3">
        <v>3</v>
      </c>
      <c r="J5" s="3">
        <v>195</v>
      </c>
      <c r="K5" s="3">
        <v>585</v>
      </c>
      <c r="L5" s="3" t="s">
        <v>32</v>
      </c>
    </row>
    <row r="6" spans="1:12" x14ac:dyDescent="0.3">
      <c r="A6" s="3" t="s">
        <v>33</v>
      </c>
      <c r="B6" s="3" t="s">
        <v>34</v>
      </c>
      <c r="C6" s="13" t="str">
        <f t="shared" si="0"/>
        <v>March</v>
      </c>
      <c r="D6" s="3" t="s">
        <v>24</v>
      </c>
      <c r="E6" s="14" t="s">
        <v>839</v>
      </c>
      <c r="F6" s="3" t="s">
        <v>25</v>
      </c>
      <c r="G6" s="3" t="s">
        <v>26</v>
      </c>
      <c r="H6" s="3" t="s">
        <v>27</v>
      </c>
      <c r="I6" s="3">
        <v>2</v>
      </c>
      <c r="J6" s="3">
        <v>174</v>
      </c>
      <c r="K6" s="3">
        <v>348</v>
      </c>
      <c r="L6" s="3" t="s">
        <v>32</v>
      </c>
    </row>
    <row r="7" spans="1:12" x14ac:dyDescent="0.3">
      <c r="A7" s="3" t="s">
        <v>35</v>
      </c>
      <c r="B7" s="3" t="s">
        <v>36</v>
      </c>
      <c r="C7" s="13" t="str">
        <f t="shared" si="0"/>
        <v>July</v>
      </c>
      <c r="D7" s="3" t="s">
        <v>18</v>
      </c>
      <c r="E7" s="14" t="s">
        <v>839</v>
      </c>
      <c r="F7" s="3" t="s">
        <v>37</v>
      </c>
      <c r="G7" s="3" t="s">
        <v>13</v>
      </c>
      <c r="H7" s="3" t="s">
        <v>14</v>
      </c>
      <c r="I7" s="3">
        <v>4</v>
      </c>
      <c r="J7" s="3">
        <v>191</v>
      </c>
      <c r="K7" s="3">
        <v>764</v>
      </c>
      <c r="L7" s="3" t="s">
        <v>38</v>
      </c>
    </row>
    <row r="8" spans="1:12" x14ac:dyDescent="0.3">
      <c r="A8" s="3" t="s">
        <v>39</v>
      </c>
      <c r="B8" s="3" t="s">
        <v>40</v>
      </c>
      <c r="C8" s="13" t="str">
        <f t="shared" si="0"/>
        <v>December</v>
      </c>
      <c r="D8" s="3" t="s">
        <v>840</v>
      </c>
      <c r="E8" s="14" t="s">
        <v>839</v>
      </c>
      <c r="F8" s="3" t="s">
        <v>41</v>
      </c>
      <c r="G8" s="3" t="s">
        <v>42</v>
      </c>
      <c r="H8" s="3" t="s">
        <v>43</v>
      </c>
      <c r="I8" s="3">
        <v>2</v>
      </c>
      <c r="J8" s="3">
        <v>206</v>
      </c>
      <c r="K8" s="3">
        <v>412</v>
      </c>
      <c r="L8" s="3" t="s">
        <v>38</v>
      </c>
    </row>
    <row r="9" spans="1:12" x14ac:dyDescent="0.3">
      <c r="A9" s="3" t="s">
        <v>44</v>
      </c>
      <c r="B9" s="3" t="s">
        <v>45</v>
      </c>
      <c r="C9" s="13" t="str">
        <f t="shared" si="0"/>
        <v>February</v>
      </c>
      <c r="D9" s="3" t="s">
        <v>46</v>
      </c>
      <c r="E9" s="14" t="s">
        <v>839</v>
      </c>
      <c r="F9" s="3" t="s">
        <v>12</v>
      </c>
      <c r="G9" s="3" t="s">
        <v>13</v>
      </c>
      <c r="H9" s="3" t="s">
        <v>14</v>
      </c>
      <c r="I9" s="3">
        <v>2</v>
      </c>
      <c r="J9" s="3">
        <v>200</v>
      </c>
      <c r="K9" s="3">
        <v>400</v>
      </c>
      <c r="L9" s="3" t="s">
        <v>15</v>
      </c>
    </row>
    <row r="10" spans="1:12" x14ac:dyDescent="0.3">
      <c r="A10" s="3" t="s">
        <v>47</v>
      </c>
      <c r="B10" s="3" t="s">
        <v>48</v>
      </c>
      <c r="C10" s="13" t="str">
        <f t="shared" si="0"/>
        <v>August</v>
      </c>
      <c r="D10" s="3" t="s">
        <v>11</v>
      </c>
      <c r="E10" s="14" t="s">
        <v>839</v>
      </c>
      <c r="F10" s="3" t="s">
        <v>12</v>
      </c>
      <c r="G10" s="3" t="s">
        <v>31</v>
      </c>
      <c r="H10" s="3" t="s">
        <v>14</v>
      </c>
      <c r="I10" s="3">
        <v>4</v>
      </c>
      <c r="J10" s="3">
        <v>193</v>
      </c>
      <c r="K10" s="3">
        <v>772</v>
      </c>
      <c r="L10" s="3" t="s">
        <v>15</v>
      </c>
    </row>
    <row r="11" spans="1:12" x14ac:dyDescent="0.3">
      <c r="A11" s="3" t="s">
        <v>49</v>
      </c>
      <c r="B11" s="3" t="s">
        <v>50</v>
      </c>
      <c r="C11" s="13" t="str">
        <f t="shared" si="0"/>
        <v>December</v>
      </c>
      <c r="D11" s="3" t="s">
        <v>51</v>
      </c>
      <c r="E11" s="14" t="s">
        <v>839</v>
      </c>
      <c r="F11" s="3" t="s">
        <v>25</v>
      </c>
      <c r="G11" s="3" t="s">
        <v>19</v>
      </c>
      <c r="H11" s="3" t="s">
        <v>20</v>
      </c>
      <c r="I11" s="3">
        <v>3</v>
      </c>
      <c r="J11" s="3">
        <v>120</v>
      </c>
      <c r="K11" s="3">
        <v>360</v>
      </c>
      <c r="L11" s="3" t="s">
        <v>32</v>
      </c>
    </row>
    <row r="12" spans="1:12" x14ac:dyDescent="0.3">
      <c r="A12" s="3" t="s">
        <v>52</v>
      </c>
      <c r="B12" s="3" t="s">
        <v>53</v>
      </c>
      <c r="C12" s="13" t="str">
        <f t="shared" si="0"/>
        <v>February</v>
      </c>
      <c r="D12" s="3" t="s">
        <v>54</v>
      </c>
      <c r="E12" s="14" t="s">
        <v>839</v>
      </c>
      <c r="F12" s="3" t="s">
        <v>30</v>
      </c>
      <c r="G12" s="3" t="s">
        <v>42</v>
      </c>
      <c r="H12" s="3" t="s">
        <v>43</v>
      </c>
      <c r="I12" s="3">
        <v>1</v>
      </c>
      <c r="J12" s="3">
        <v>215</v>
      </c>
      <c r="K12" s="3">
        <v>215</v>
      </c>
      <c r="L12" s="3" t="s">
        <v>38</v>
      </c>
    </row>
    <row r="13" spans="1:12" x14ac:dyDescent="0.3">
      <c r="A13" s="3" t="s">
        <v>55</v>
      </c>
      <c r="B13" s="3" t="s">
        <v>56</v>
      </c>
      <c r="C13" s="13" t="str">
        <f t="shared" si="0"/>
        <v>April</v>
      </c>
      <c r="D13" s="3" t="s">
        <v>51</v>
      </c>
      <c r="E13" s="14" t="s">
        <v>839</v>
      </c>
      <c r="F13" s="3" t="s">
        <v>12</v>
      </c>
      <c r="G13" s="3" t="s">
        <v>57</v>
      </c>
      <c r="H13" s="3" t="s">
        <v>14</v>
      </c>
      <c r="I13" s="3">
        <v>1</v>
      </c>
      <c r="J13" s="3">
        <v>204</v>
      </c>
      <c r="K13" s="3">
        <v>204</v>
      </c>
      <c r="L13" s="3" t="s">
        <v>15</v>
      </c>
    </row>
    <row r="14" spans="1:12" x14ac:dyDescent="0.3">
      <c r="A14" s="3" t="s">
        <v>58</v>
      </c>
      <c r="B14" s="3" t="s">
        <v>59</v>
      </c>
      <c r="C14" s="13" t="str">
        <f t="shared" si="0"/>
        <v>February</v>
      </c>
      <c r="D14" s="3" t="s">
        <v>18</v>
      </c>
      <c r="E14" s="14" t="s">
        <v>839</v>
      </c>
      <c r="F14" s="3" t="s">
        <v>25</v>
      </c>
      <c r="G14" s="3" t="s">
        <v>19</v>
      </c>
      <c r="H14" s="3" t="s">
        <v>20</v>
      </c>
      <c r="I14" s="3">
        <v>5</v>
      </c>
      <c r="J14" s="3">
        <v>132</v>
      </c>
      <c r="K14" s="3">
        <v>660</v>
      </c>
      <c r="L14" s="3" t="s">
        <v>32</v>
      </c>
    </row>
    <row r="15" spans="1:12" x14ac:dyDescent="0.3">
      <c r="A15" s="3" t="s">
        <v>60</v>
      </c>
      <c r="B15" s="3" t="s">
        <v>61</v>
      </c>
      <c r="C15" s="13" t="str">
        <f t="shared" si="0"/>
        <v>October</v>
      </c>
      <c r="D15" s="3" t="s">
        <v>18</v>
      </c>
      <c r="E15" s="14" t="s">
        <v>839</v>
      </c>
      <c r="F15" s="3" t="s">
        <v>41</v>
      </c>
      <c r="G15" s="3" t="s">
        <v>19</v>
      </c>
      <c r="H15" s="3" t="s">
        <v>20</v>
      </c>
      <c r="I15" s="3">
        <v>2</v>
      </c>
      <c r="J15" s="3">
        <v>134</v>
      </c>
      <c r="K15" s="3">
        <v>268</v>
      </c>
      <c r="L15" s="3" t="s">
        <v>21</v>
      </c>
    </row>
    <row r="16" spans="1:12" x14ac:dyDescent="0.3">
      <c r="A16" s="3" t="s">
        <v>62</v>
      </c>
      <c r="B16" s="3" t="s">
        <v>63</v>
      </c>
      <c r="C16" s="13" t="str">
        <f t="shared" si="0"/>
        <v>December</v>
      </c>
      <c r="D16" s="3" t="s">
        <v>51</v>
      </c>
      <c r="E16" s="14" t="s">
        <v>839</v>
      </c>
      <c r="F16" s="3" t="s">
        <v>30</v>
      </c>
      <c r="G16" s="3" t="s">
        <v>19</v>
      </c>
      <c r="H16" s="3" t="s">
        <v>20</v>
      </c>
      <c r="I16" s="3">
        <v>5</v>
      </c>
      <c r="J16" s="3">
        <v>134</v>
      </c>
      <c r="K16" s="3">
        <v>670</v>
      </c>
      <c r="L16" s="3" t="s">
        <v>21</v>
      </c>
    </row>
    <row r="17" spans="1:12" x14ac:dyDescent="0.3">
      <c r="A17" s="3" t="s">
        <v>64</v>
      </c>
      <c r="B17" s="3" t="s">
        <v>65</v>
      </c>
      <c r="C17" s="13" t="str">
        <f t="shared" si="0"/>
        <v>February</v>
      </c>
      <c r="D17" s="3" t="s">
        <v>24</v>
      </c>
      <c r="E17" s="14" t="s">
        <v>839</v>
      </c>
      <c r="F17" s="3" t="s">
        <v>25</v>
      </c>
      <c r="G17" s="3" t="s">
        <v>66</v>
      </c>
      <c r="H17" s="3" t="s">
        <v>43</v>
      </c>
      <c r="I17" s="3">
        <v>5</v>
      </c>
      <c r="J17" s="3">
        <v>136</v>
      </c>
      <c r="K17" s="3">
        <v>680</v>
      </c>
      <c r="L17" s="3" t="s">
        <v>21</v>
      </c>
    </row>
    <row r="18" spans="1:12" x14ac:dyDescent="0.3">
      <c r="A18" s="3" t="s">
        <v>67</v>
      </c>
      <c r="B18" s="3" t="s">
        <v>68</v>
      </c>
      <c r="C18" s="13" t="str">
        <f t="shared" si="0"/>
        <v>March</v>
      </c>
      <c r="D18" s="3" t="s">
        <v>11</v>
      </c>
      <c r="E18" s="14" t="s">
        <v>839</v>
      </c>
      <c r="F18" s="3" t="s">
        <v>12</v>
      </c>
      <c r="G18" s="3" t="s">
        <v>69</v>
      </c>
      <c r="H18" s="3" t="s">
        <v>14</v>
      </c>
      <c r="I18" s="3">
        <v>2</v>
      </c>
      <c r="J18" s="3">
        <v>145</v>
      </c>
      <c r="K18" s="3">
        <v>290</v>
      </c>
      <c r="L18" s="3" t="s">
        <v>15</v>
      </c>
    </row>
    <row r="19" spans="1:12" x14ac:dyDescent="0.3">
      <c r="A19" s="3" t="s">
        <v>70</v>
      </c>
      <c r="B19" s="3" t="s">
        <v>71</v>
      </c>
      <c r="C19" s="13" t="str">
        <f t="shared" si="0"/>
        <v>April</v>
      </c>
      <c r="D19" s="3" t="s">
        <v>18</v>
      </c>
      <c r="E19" s="14" t="s">
        <v>839</v>
      </c>
      <c r="F19" s="3" t="s">
        <v>30</v>
      </c>
      <c r="G19" s="3" t="s">
        <v>26</v>
      </c>
      <c r="H19" s="3" t="s">
        <v>27</v>
      </c>
      <c r="I19" s="3">
        <v>2</v>
      </c>
      <c r="J19" s="3">
        <v>169</v>
      </c>
      <c r="K19" s="3">
        <v>338</v>
      </c>
      <c r="L19" s="3" t="s">
        <v>38</v>
      </c>
    </row>
    <row r="20" spans="1:12" x14ac:dyDescent="0.3">
      <c r="A20" s="3" t="s">
        <v>72</v>
      </c>
      <c r="B20" s="3" t="s">
        <v>73</v>
      </c>
      <c r="C20" s="13" t="str">
        <f t="shared" si="0"/>
        <v>March</v>
      </c>
      <c r="D20" s="3" t="s">
        <v>46</v>
      </c>
      <c r="E20" s="14" t="s">
        <v>839</v>
      </c>
      <c r="F20" s="3" t="s">
        <v>41</v>
      </c>
      <c r="G20" s="3" t="s">
        <v>74</v>
      </c>
      <c r="H20" s="3" t="s">
        <v>27</v>
      </c>
      <c r="I20" s="3">
        <v>2</v>
      </c>
      <c r="J20" s="3">
        <v>270</v>
      </c>
      <c r="K20" s="3">
        <v>540</v>
      </c>
      <c r="L20" s="3" t="s">
        <v>21</v>
      </c>
    </row>
    <row r="21" spans="1:12" x14ac:dyDescent="0.3">
      <c r="A21" s="3" t="s">
        <v>75</v>
      </c>
      <c r="B21" s="3" t="s">
        <v>76</v>
      </c>
      <c r="C21" s="13" t="str">
        <f t="shared" si="0"/>
        <v>September</v>
      </c>
      <c r="D21" s="3" t="s">
        <v>11</v>
      </c>
      <c r="E21" s="14" t="s">
        <v>839</v>
      </c>
      <c r="F21" s="3" t="s">
        <v>37</v>
      </c>
      <c r="G21" s="3" t="s">
        <v>19</v>
      </c>
      <c r="H21" s="3" t="s">
        <v>20</v>
      </c>
      <c r="I21" s="3">
        <v>3</v>
      </c>
      <c r="J21" s="3">
        <v>126</v>
      </c>
      <c r="K21" s="3">
        <v>378</v>
      </c>
      <c r="L21" s="3" t="s">
        <v>15</v>
      </c>
    </row>
    <row r="22" spans="1:12" x14ac:dyDescent="0.3">
      <c r="A22" s="3" t="s">
        <v>77</v>
      </c>
      <c r="B22" s="3" t="s">
        <v>78</v>
      </c>
      <c r="C22" s="13" t="str">
        <f t="shared" si="0"/>
        <v>June</v>
      </c>
      <c r="D22" s="3" t="s">
        <v>51</v>
      </c>
      <c r="E22" s="14" t="s">
        <v>839</v>
      </c>
      <c r="F22" s="3" t="s">
        <v>41</v>
      </c>
      <c r="G22" s="3" t="s">
        <v>79</v>
      </c>
      <c r="H22" s="3" t="s">
        <v>20</v>
      </c>
      <c r="I22" s="3">
        <v>5</v>
      </c>
      <c r="J22" s="3">
        <v>171</v>
      </c>
      <c r="K22" s="3">
        <v>855</v>
      </c>
      <c r="L22" s="3" t="s">
        <v>21</v>
      </c>
    </row>
    <row r="23" spans="1:12" x14ac:dyDescent="0.3">
      <c r="A23" s="3" t="s">
        <v>80</v>
      </c>
      <c r="B23" s="3" t="s">
        <v>81</v>
      </c>
      <c r="C23" s="13" t="str">
        <f t="shared" si="0"/>
        <v>September</v>
      </c>
      <c r="D23" s="3" t="s">
        <v>51</v>
      </c>
      <c r="E23" s="14" t="s">
        <v>839</v>
      </c>
      <c r="F23" s="3" t="s">
        <v>25</v>
      </c>
      <c r="G23" s="3" t="s">
        <v>69</v>
      </c>
      <c r="H23" s="3" t="s">
        <v>14</v>
      </c>
      <c r="I23" s="3">
        <v>4</v>
      </c>
      <c r="J23" s="3">
        <v>144</v>
      </c>
      <c r="K23" s="3">
        <v>576</v>
      </c>
      <c r="L23" s="3" t="s">
        <v>15</v>
      </c>
    </row>
    <row r="24" spans="1:12" x14ac:dyDescent="0.3">
      <c r="A24" s="3" t="s">
        <v>82</v>
      </c>
      <c r="B24" s="3" t="s">
        <v>83</v>
      </c>
      <c r="C24" s="13" t="str">
        <f t="shared" si="0"/>
        <v>January</v>
      </c>
      <c r="D24" s="3" t="s">
        <v>54</v>
      </c>
      <c r="E24" s="14" t="s">
        <v>839</v>
      </c>
      <c r="F24" s="3" t="s">
        <v>41</v>
      </c>
      <c r="G24" s="3" t="s">
        <v>42</v>
      </c>
      <c r="H24" s="3" t="s">
        <v>43</v>
      </c>
      <c r="I24" s="3">
        <v>4</v>
      </c>
      <c r="J24" s="3">
        <v>239</v>
      </c>
      <c r="K24" s="3">
        <v>956</v>
      </c>
      <c r="L24" s="3" t="s">
        <v>32</v>
      </c>
    </row>
    <row r="25" spans="1:12" x14ac:dyDescent="0.3">
      <c r="A25" s="3" t="s">
        <v>84</v>
      </c>
      <c r="B25" s="3" t="s">
        <v>85</v>
      </c>
      <c r="C25" s="13" t="str">
        <f t="shared" si="0"/>
        <v>June</v>
      </c>
      <c r="D25" s="3" t="s">
        <v>18</v>
      </c>
      <c r="E25" s="14" t="s">
        <v>839</v>
      </c>
      <c r="F25" s="3" t="s">
        <v>30</v>
      </c>
      <c r="G25" s="3" t="s">
        <v>66</v>
      </c>
      <c r="H25" s="3" t="s">
        <v>43</v>
      </c>
      <c r="I25" s="3">
        <v>5</v>
      </c>
      <c r="J25" s="3">
        <v>107</v>
      </c>
      <c r="K25" s="3">
        <v>535</v>
      </c>
      <c r="L25" s="3" t="s">
        <v>15</v>
      </c>
    </row>
    <row r="26" spans="1:12" x14ac:dyDescent="0.3">
      <c r="A26" s="3" t="s">
        <v>86</v>
      </c>
      <c r="B26" s="3" t="s">
        <v>87</v>
      </c>
      <c r="C26" s="13" t="str">
        <f t="shared" si="0"/>
        <v>November</v>
      </c>
      <c r="D26" s="3" t="s">
        <v>24</v>
      </c>
      <c r="E26" s="14" t="s">
        <v>839</v>
      </c>
      <c r="F26" s="3" t="s">
        <v>25</v>
      </c>
      <c r="G26" s="3" t="s">
        <v>42</v>
      </c>
      <c r="H26" s="3" t="s">
        <v>43</v>
      </c>
      <c r="I26" s="3">
        <v>2</v>
      </c>
      <c r="J26" s="3">
        <v>232</v>
      </c>
      <c r="K26" s="3">
        <v>464</v>
      </c>
      <c r="L26" s="3" t="s">
        <v>21</v>
      </c>
    </row>
    <row r="27" spans="1:12" x14ac:dyDescent="0.3">
      <c r="A27" s="3" t="s">
        <v>88</v>
      </c>
      <c r="B27" s="3" t="s">
        <v>89</v>
      </c>
      <c r="C27" s="13" t="str">
        <f t="shared" si="0"/>
        <v>October</v>
      </c>
      <c r="D27" s="3" t="s">
        <v>46</v>
      </c>
      <c r="E27" s="14" t="s">
        <v>839</v>
      </c>
      <c r="F27" s="3" t="s">
        <v>30</v>
      </c>
      <c r="G27" s="3" t="s">
        <v>13</v>
      </c>
      <c r="H27" s="3" t="s">
        <v>14</v>
      </c>
      <c r="I27" s="3">
        <v>4</v>
      </c>
      <c r="J27" s="3">
        <v>178</v>
      </c>
      <c r="K27" s="3">
        <v>712</v>
      </c>
      <c r="L27" s="3" t="s">
        <v>15</v>
      </c>
    </row>
    <row r="28" spans="1:12" x14ac:dyDescent="0.3">
      <c r="A28" s="3" t="s">
        <v>90</v>
      </c>
      <c r="B28" s="3" t="s">
        <v>91</v>
      </c>
      <c r="C28" s="13" t="str">
        <f t="shared" si="0"/>
        <v>October</v>
      </c>
      <c r="D28" s="3" t="s">
        <v>11</v>
      </c>
      <c r="E28" s="14" t="s">
        <v>839</v>
      </c>
      <c r="F28" s="3" t="s">
        <v>25</v>
      </c>
      <c r="G28" s="3" t="s">
        <v>19</v>
      </c>
      <c r="H28" s="3" t="s">
        <v>20</v>
      </c>
      <c r="I28" s="3">
        <v>2</v>
      </c>
      <c r="J28" s="3">
        <v>156</v>
      </c>
      <c r="K28" s="3">
        <v>312</v>
      </c>
      <c r="L28" s="3" t="s">
        <v>38</v>
      </c>
    </row>
    <row r="29" spans="1:12" x14ac:dyDescent="0.3">
      <c r="A29" s="3" t="s">
        <v>92</v>
      </c>
      <c r="B29" s="3" t="s">
        <v>93</v>
      </c>
      <c r="C29" s="13" t="str">
        <f t="shared" si="0"/>
        <v>October</v>
      </c>
      <c r="D29" s="3" t="s">
        <v>46</v>
      </c>
      <c r="E29" s="14" t="s">
        <v>839</v>
      </c>
      <c r="F29" s="3" t="s">
        <v>30</v>
      </c>
      <c r="G29" s="3" t="s">
        <v>26</v>
      </c>
      <c r="H29" s="3" t="s">
        <v>27</v>
      </c>
      <c r="I29" s="3">
        <v>3</v>
      </c>
      <c r="J29" s="3">
        <v>175</v>
      </c>
      <c r="K29" s="3">
        <v>525</v>
      </c>
      <c r="L29" s="3" t="s">
        <v>21</v>
      </c>
    </row>
    <row r="30" spans="1:12" x14ac:dyDescent="0.3">
      <c r="A30" s="3" t="s">
        <v>94</v>
      </c>
      <c r="B30" s="3" t="s">
        <v>95</v>
      </c>
      <c r="C30" s="13" t="str">
        <f t="shared" si="0"/>
        <v>September</v>
      </c>
      <c r="D30" s="3" t="s">
        <v>18</v>
      </c>
      <c r="E30" s="14" t="s">
        <v>839</v>
      </c>
      <c r="F30" s="3" t="s">
        <v>37</v>
      </c>
      <c r="G30" s="3" t="s">
        <v>79</v>
      </c>
      <c r="H30" s="3" t="s">
        <v>20</v>
      </c>
      <c r="I30" s="3">
        <v>4</v>
      </c>
      <c r="J30" s="3">
        <v>142</v>
      </c>
      <c r="K30" s="3">
        <v>568</v>
      </c>
      <c r="L30" s="3" t="s">
        <v>21</v>
      </c>
    </row>
    <row r="31" spans="1:12" x14ac:dyDescent="0.3">
      <c r="A31" s="3" t="s">
        <v>96</v>
      </c>
      <c r="B31" s="3" t="s">
        <v>97</v>
      </c>
      <c r="C31" s="13" t="str">
        <f t="shared" si="0"/>
        <v>January</v>
      </c>
      <c r="D31" s="3" t="s">
        <v>18</v>
      </c>
      <c r="E31" s="14" t="s">
        <v>839</v>
      </c>
      <c r="F31" s="3" t="s">
        <v>37</v>
      </c>
      <c r="G31" s="3" t="s">
        <v>69</v>
      </c>
      <c r="H31" s="3" t="s">
        <v>14</v>
      </c>
      <c r="I31" s="3">
        <v>3</v>
      </c>
      <c r="J31" s="3">
        <v>130</v>
      </c>
      <c r="K31" s="3">
        <v>390</v>
      </c>
      <c r="L31" s="3" t="s">
        <v>32</v>
      </c>
    </row>
    <row r="32" spans="1:12" x14ac:dyDescent="0.3">
      <c r="A32" s="3" t="s">
        <v>98</v>
      </c>
      <c r="B32" s="3" t="s">
        <v>99</v>
      </c>
      <c r="C32" s="13" t="str">
        <f t="shared" si="0"/>
        <v>August</v>
      </c>
      <c r="D32" s="3" t="s">
        <v>46</v>
      </c>
      <c r="E32" s="14" t="s">
        <v>839</v>
      </c>
      <c r="F32" s="3" t="s">
        <v>41</v>
      </c>
      <c r="G32" s="3" t="s">
        <v>19</v>
      </c>
      <c r="H32" s="3" t="s">
        <v>20</v>
      </c>
      <c r="I32" s="3">
        <v>4</v>
      </c>
      <c r="J32" s="3">
        <v>136</v>
      </c>
      <c r="K32" s="3">
        <v>544</v>
      </c>
      <c r="L32" s="3" t="s">
        <v>38</v>
      </c>
    </row>
    <row r="33" spans="1:12" x14ac:dyDescent="0.3">
      <c r="A33" s="3" t="s">
        <v>100</v>
      </c>
      <c r="B33" s="3" t="s">
        <v>101</v>
      </c>
      <c r="C33" s="13" t="str">
        <f t="shared" si="0"/>
        <v>May</v>
      </c>
      <c r="D33" s="3" t="s">
        <v>54</v>
      </c>
      <c r="E33" s="14" t="s">
        <v>839</v>
      </c>
      <c r="F33" s="3" t="s">
        <v>12</v>
      </c>
      <c r="G33" s="3" t="s">
        <v>69</v>
      </c>
      <c r="H33" s="3" t="s">
        <v>14</v>
      </c>
      <c r="I33" s="3">
        <v>3</v>
      </c>
      <c r="J33" s="3">
        <v>130</v>
      </c>
      <c r="K33" s="3">
        <v>390</v>
      </c>
      <c r="L33" s="3" t="s">
        <v>38</v>
      </c>
    </row>
    <row r="34" spans="1:12" x14ac:dyDescent="0.3">
      <c r="A34" s="3" t="s">
        <v>102</v>
      </c>
      <c r="B34" s="3" t="s">
        <v>103</v>
      </c>
      <c r="C34" s="13" t="str">
        <f t="shared" si="0"/>
        <v>September</v>
      </c>
      <c r="D34" s="3" t="s">
        <v>840</v>
      </c>
      <c r="E34" s="14" t="s">
        <v>839</v>
      </c>
      <c r="F34" s="3" t="s">
        <v>41</v>
      </c>
      <c r="G34" s="3" t="s">
        <v>26</v>
      </c>
      <c r="H34" s="3" t="s">
        <v>27</v>
      </c>
      <c r="I34" s="3">
        <v>3</v>
      </c>
      <c r="J34" s="3">
        <v>182</v>
      </c>
      <c r="K34" s="3">
        <v>546</v>
      </c>
      <c r="L34" s="3" t="s">
        <v>38</v>
      </c>
    </row>
    <row r="35" spans="1:12" x14ac:dyDescent="0.3">
      <c r="A35" s="3" t="s">
        <v>104</v>
      </c>
      <c r="B35" s="3" t="s">
        <v>105</v>
      </c>
      <c r="C35" s="13" t="str">
        <f t="shared" si="0"/>
        <v>January</v>
      </c>
      <c r="D35" s="3" t="s">
        <v>24</v>
      </c>
      <c r="E35" s="14" t="s">
        <v>839</v>
      </c>
      <c r="F35" s="3" t="s">
        <v>37</v>
      </c>
      <c r="G35" s="3" t="s">
        <v>13</v>
      </c>
      <c r="H35" s="3" t="s">
        <v>14</v>
      </c>
      <c r="I35" s="3">
        <v>3</v>
      </c>
      <c r="J35" s="3">
        <v>199</v>
      </c>
      <c r="K35" s="3">
        <v>597</v>
      </c>
      <c r="L35" s="3" t="s">
        <v>21</v>
      </c>
    </row>
    <row r="36" spans="1:12" x14ac:dyDescent="0.3">
      <c r="A36" s="3" t="s">
        <v>106</v>
      </c>
      <c r="B36" s="3" t="s">
        <v>107</v>
      </c>
      <c r="C36" s="13" t="str">
        <f t="shared" si="0"/>
        <v>September</v>
      </c>
      <c r="D36" s="3" t="s">
        <v>46</v>
      </c>
      <c r="E36" s="14" t="s">
        <v>839</v>
      </c>
      <c r="F36" s="3" t="s">
        <v>30</v>
      </c>
      <c r="G36" s="3" t="s">
        <v>66</v>
      </c>
      <c r="H36" s="3" t="s">
        <v>43</v>
      </c>
      <c r="I36" s="3">
        <v>3</v>
      </c>
      <c r="J36" s="3">
        <v>107</v>
      </c>
      <c r="K36" s="3">
        <v>321</v>
      </c>
      <c r="L36" s="3" t="s">
        <v>21</v>
      </c>
    </row>
    <row r="37" spans="1:12" x14ac:dyDescent="0.3">
      <c r="A37" s="3" t="s">
        <v>108</v>
      </c>
      <c r="B37" s="3" t="s">
        <v>109</v>
      </c>
      <c r="C37" s="13" t="str">
        <f t="shared" si="0"/>
        <v>April</v>
      </c>
      <c r="D37" s="3" t="s">
        <v>24</v>
      </c>
      <c r="E37" s="14" t="s">
        <v>839</v>
      </c>
      <c r="F37" s="3" t="s">
        <v>30</v>
      </c>
      <c r="G37" s="3" t="s">
        <v>13</v>
      </c>
      <c r="H37" s="3" t="s">
        <v>14</v>
      </c>
      <c r="I37" s="3">
        <v>2</v>
      </c>
      <c r="J37" s="3">
        <v>174</v>
      </c>
      <c r="K37" s="3">
        <v>348</v>
      </c>
      <c r="L37" s="3" t="s">
        <v>38</v>
      </c>
    </row>
    <row r="38" spans="1:12" x14ac:dyDescent="0.3">
      <c r="A38" s="3" t="s">
        <v>110</v>
      </c>
      <c r="B38" s="3" t="s">
        <v>111</v>
      </c>
      <c r="C38" s="13" t="str">
        <f t="shared" si="0"/>
        <v>July</v>
      </c>
      <c r="D38" s="3" t="s">
        <v>11</v>
      </c>
      <c r="E38" s="14" t="s">
        <v>839</v>
      </c>
      <c r="F38" s="3" t="s">
        <v>41</v>
      </c>
      <c r="G38" s="3" t="s">
        <v>79</v>
      </c>
      <c r="H38" s="3" t="s">
        <v>20</v>
      </c>
      <c r="I38" s="3">
        <v>3</v>
      </c>
      <c r="J38" s="3">
        <v>179</v>
      </c>
      <c r="K38" s="3">
        <v>537</v>
      </c>
      <c r="L38" s="3" t="s">
        <v>21</v>
      </c>
    </row>
    <row r="39" spans="1:12" x14ac:dyDescent="0.3">
      <c r="A39" s="3" t="s">
        <v>112</v>
      </c>
      <c r="B39" s="3" t="s">
        <v>113</v>
      </c>
      <c r="C39" s="13" t="str">
        <f t="shared" si="0"/>
        <v>March</v>
      </c>
      <c r="D39" s="3" t="s">
        <v>24</v>
      </c>
      <c r="E39" s="14" t="s">
        <v>839</v>
      </c>
      <c r="F39" s="3" t="s">
        <v>41</v>
      </c>
      <c r="G39" s="3" t="s">
        <v>19</v>
      </c>
      <c r="H39" s="3" t="s">
        <v>20</v>
      </c>
      <c r="I39" s="3">
        <v>5</v>
      </c>
      <c r="J39" s="3">
        <v>126</v>
      </c>
      <c r="K39" s="3">
        <v>630</v>
      </c>
      <c r="L39" s="3" t="s">
        <v>21</v>
      </c>
    </row>
    <row r="40" spans="1:12" x14ac:dyDescent="0.3">
      <c r="A40" s="3" t="s">
        <v>114</v>
      </c>
      <c r="B40" s="3" t="s">
        <v>115</v>
      </c>
      <c r="C40" s="13" t="str">
        <f t="shared" si="0"/>
        <v>May</v>
      </c>
      <c r="D40" s="3" t="s">
        <v>54</v>
      </c>
      <c r="E40" s="14" t="s">
        <v>839</v>
      </c>
      <c r="F40" s="3" t="s">
        <v>41</v>
      </c>
      <c r="G40" s="3" t="s">
        <v>57</v>
      </c>
      <c r="H40" s="3" t="s">
        <v>14</v>
      </c>
      <c r="I40" s="3">
        <v>3</v>
      </c>
      <c r="J40" s="3">
        <v>202</v>
      </c>
      <c r="K40" s="3">
        <v>606</v>
      </c>
      <c r="L40" s="3" t="s">
        <v>32</v>
      </c>
    </row>
    <row r="41" spans="1:12" x14ac:dyDescent="0.3">
      <c r="A41" s="3" t="s">
        <v>116</v>
      </c>
      <c r="B41" s="3" t="s">
        <v>89</v>
      </c>
      <c r="C41" s="13" t="str">
        <f t="shared" si="0"/>
        <v>October</v>
      </c>
      <c r="D41" s="3" t="s">
        <v>46</v>
      </c>
      <c r="E41" s="14" t="s">
        <v>839</v>
      </c>
      <c r="F41" s="3" t="s">
        <v>30</v>
      </c>
      <c r="G41" s="3" t="s">
        <v>19</v>
      </c>
      <c r="H41" s="3" t="s">
        <v>20</v>
      </c>
      <c r="I41" s="3">
        <v>1</v>
      </c>
      <c r="J41" s="3">
        <v>142</v>
      </c>
      <c r="K41" s="3">
        <v>142</v>
      </c>
      <c r="L41" s="3" t="s">
        <v>32</v>
      </c>
    </row>
    <row r="42" spans="1:12" x14ac:dyDescent="0.3">
      <c r="A42" s="3" t="s">
        <v>117</v>
      </c>
      <c r="B42" s="3" t="s">
        <v>118</v>
      </c>
      <c r="C42" s="13" t="str">
        <f t="shared" si="0"/>
        <v>June</v>
      </c>
      <c r="D42" s="3" t="s">
        <v>24</v>
      </c>
      <c r="E42" s="14" t="s">
        <v>839</v>
      </c>
      <c r="F42" s="3" t="s">
        <v>41</v>
      </c>
      <c r="G42" s="3" t="s">
        <v>74</v>
      </c>
      <c r="H42" s="3" t="s">
        <v>27</v>
      </c>
      <c r="I42" s="3">
        <v>1</v>
      </c>
      <c r="J42" s="3">
        <v>256</v>
      </c>
      <c r="K42" s="3">
        <v>256</v>
      </c>
      <c r="L42" s="3" t="s">
        <v>32</v>
      </c>
    </row>
    <row r="43" spans="1:12" x14ac:dyDescent="0.3">
      <c r="A43" s="3" t="s">
        <v>119</v>
      </c>
      <c r="B43" s="3" t="s">
        <v>120</v>
      </c>
      <c r="C43" s="13" t="str">
        <f t="shared" si="0"/>
        <v>July</v>
      </c>
      <c r="D43" s="3" t="s">
        <v>54</v>
      </c>
      <c r="E43" s="14" t="s">
        <v>839</v>
      </c>
      <c r="F43" s="3" t="s">
        <v>12</v>
      </c>
      <c r="G43" s="3" t="s">
        <v>69</v>
      </c>
      <c r="H43" s="3" t="s">
        <v>14</v>
      </c>
      <c r="I43" s="3">
        <v>3</v>
      </c>
      <c r="J43" s="3">
        <v>137</v>
      </c>
      <c r="K43" s="3">
        <v>411</v>
      </c>
      <c r="L43" s="3" t="s">
        <v>38</v>
      </c>
    </row>
    <row r="44" spans="1:12" x14ac:dyDescent="0.3">
      <c r="A44" s="3" t="s">
        <v>121</v>
      </c>
      <c r="B44" s="3" t="s">
        <v>122</v>
      </c>
      <c r="C44" s="13" t="str">
        <f t="shared" si="0"/>
        <v>August</v>
      </c>
      <c r="D44" s="3" t="s">
        <v>840</v>
      </c>
      <c r="E44" s="14" t="s">
        <v>839</v>
      </c>
      <c r="F44" s="3" t="s">
        <v>37</v>
      </c>
      <c r="G44" s="3" t="s">
        <v>31</v>
      </c>
      <c r="H44" s="3" t="s">
        <v>14</v>
      </c>
      <c r="I44" s="3">
        <v>2</v>
      </c>
      <c r="J44" s="3">
        <v>181</v>
      </c>
      <c r="K44" s="3">
        <v>362</v>
      </c>
      <c r="L44" s="3" t="s">
        <v>15</v>
      </c>
    </row>
    <row r="45" spans="1:12" x14ac:dyDescent="0.3">
      <c r="A45" s="3" t="s">
        <v>123</v>
      </c>
      <c r="B45" s="3" t="s">
        <v>36</v>
      </c>
      <c r="C45" s="13" t="str">
        <f t="shared" si="0"/>
        <v>July</v>
      </c>
      <c r="D45" s="3" t="s">
        <v>840</v>
      </c>
      <c r="E45" s="14" t="s">
        <v>839</v>
      </c>
      <c r="F45" s="3" t="s">
        <v>41</v>
      </c>
      <c r="G45" s="3" t="s">
        <v>66</v>
      </c>
      <c r="H45" s="3" t="s">
        <v>43</v>
      </c>
      <c r="I45" s="3">
        <v>3</v>
      </c>
      <c r="J45" s="3">
        <v>134</v>
      </c>
      <c r="K45" s="3">
        <v>402</v>
      </c>
      <c r="L45" s="3" t="s">
        <v>32</v>
      </c>
    </row>
    <row r="46" spans="1:12" x14ac:dyDescent="0.3">
      <c r="A46" s="3" t="s">
        <v>124</v>
      </c>
      <c r="B46" s="3" t="s">
        <v>125</v>
      </c>
      <c r="C46" s="13" t="str">
        <f t="shared" si="0"/>
        <v>May</v>
      </c>
      <c r="D46" s="3" t="s">
        <v>840</v>
      </c>
      <c r="E46" s="14" t="s">
        <v>839</v>
      </c>
      <c r="F46" s="3" t="s">
        <v>37</v>
      </c>
      <c r="G46" s="3" t="s">
        <v>57</v>
      </c>
      <c r="H46" s="3" t="s">
        <v>14</v>
      </c>
      <c r="I46" s="3">
        <v>4</v>
      </c>
      <c r="J46" s="3">
        <v>208</v>
      </c>
      <c r="K46" s="3">
        <v>832</v>
      </c>
      <c r="L46" s="3" t="s">
        <v>15</v>
      </c>
    </row>
    <row r="47" spans="1:12" x14ac:dyDescent="0.3">
      <c r="A47" s="3" t="s">
        <v>126</v>
      </c>
      <c r="B47" s="3" t="s">
        <v>127</v>
      </c>
      <c r="C47" s="13" t="str">
        <f t="shared" si="0"/>
        <v>May</v>
      </c>
      <c r="D47" s="3" t="s">
        <v>24</v>
      </c>
      <c r="E47" s="14" t="s">
        <v>839</v>
      </c>
      <c r="F47" s="3" t="s">
        <v>30</v>
      </c>
      <c r="G47" s="3" t="s">
        <v>69</v>
      </c>
      <c r="H47" s="3" t="s">
        <v>14</v>
      </c>
      <c r="I47" s="3">
        <v>3</v>
      </c>
      <c r="J47" s="3">
        <v>132</v>
      </c>
      <c r="K47" s="3">
        <v>396</v>
      </c>
      <c r="L47" s="3" t="s">
        <v>38</v>
      </c>
    </row>
    <row r="48" spans="1:12" x14ac:dyDescent="0.3">
      <c r="A48" s="3" t="s">
        <v>128</v>
      </c>
      <c r="B48" s="3" t="s">
        <v>129</v>
      </c>
      <c r="C48" s="13" t="str">
        <f t="shared" si="0"/>
        <v>November</v>
      </c>
      <c r="D48" s="3" t="s">
        <v>46</v>
      </c>
      <c r="E48" s="14" t="s">
        <v>839</v>
      </c>
      <c r="F48" s="3" t="s">
        <v>12</v>
      </c>
      <c r="G48" s="3" t="s">
        <v>79</v>
      </c>
      <c r="H48" s="3" t="s">
        <v>20</v>
      </c>
      <c r="I48" s="3">
        <v>1</v>
      </c>
      <c r="J48" s="3">
        <v>172</v>
      </c>
      <c r="K48" s="3">
        <v>172</v>
      </c>
      <c r="L48" s="3" t="s">
        <v>21</v>
      </c>
    </row>
    <row r="49" spans="1:12" x14ac:dyDescent="0.3">
      <c r="A49" s="3" t="s">
        <v>130</v>
      </c>
      <c r="B49" s="3" t="s">
        <v>131</v>
      </c>
      <c r="C49" s="13" t="str">
        <f t="shared" si="0"/>
        <v>June</v>
      </c>
      <c r="D49" s="3" t="s">
        <v>51</v>
      </c>
      <c r="E49" s="14" t="s">
        <v>839</v>
      </c>
      <c r="F49" s="3" t="s">
        <v>30</v>
      </c>
      <c r="G49" s="3" t="s">
        <v>79</v>
      </c>
      <c r="H49" s="3" t="s">
        <v>20</v>
      </c>
      <c r="I49" s="3">
        <v>5</v>
      </c>
      <c r="J49" s="3">
        <v>149</v>
      </c>
      <c r="K49" s="3">
        <v>745</v>
      </c>
      <c r="L49" s="3" t="s">
        <v>32</v>
      </c>
    </row>
    <row r="50" spans="1:12" x14ac:dyDescent="0.3">
      <c r="A50" s="3" t="s">
        <v>132</v>
      </c>
      <c r="B50" s="3" t="s">
        <v>133</v>
      </c>
      <c r="C50" s="13" t="str">
        <f t="shared" si="0"/>
        <v>March</v>
      </c>
      <c r="D50" s="3" t="s">
        <v>24</v>
      </c>
      <c r="E50" s="14" t="s">
        <v>839</v>
      </c>
      <c r="F50" s="3" t="s">
        <v>41</v>
      </c>
      <c r="G50" s="3" t="s">
        <v>31</v>
      </c>
      <c r="H50" s="3" t="s">
        <v>14</v>
      </c>
      <c r="I50" s="3">
        <v>3</v>
      </c>
      <c r="J50" s="3">
        <v>207</v>
      </c>
      <c r="K50" s="3">
        <v>621</v>
      </c>
      <c r="L50" s="3" t="s">
        <v>15</v>
      </c>
    </row>
    <row r="51" spans="1:12" x14ac:dyDescent="0.3">
      <c r="A51" s="3" t="s">
        <v>134</v>
      </c>
      <c r="B51" s="3" t="s">
        <v>135</v>
      </c>
      <c r="C51" s="13" t="str">
        <f t="shared" si="0"/>
        <v>October</v>
      </c>
      <c r="D51" s="3" t="s">
        <v>840</v>
      </c>
      <c r="E51" s="14" t="s">
        <v>839</v>
      </c>
      <c r="F51" s="3" t="s">
        <v>25</v>
      </c>
      <c r="G51" s="3" t="s">
        <v>13</v>
      </c>
      <c r="H51" s="3" t="s">
        <v>14</v>
      </c>
      <c r="I51" s="3">
        <v>5</v>
      </c>
      <c r="J51" s="3">
        <v>174</v>
      </c>
      <c r="K51" s="3">
        <v>870</v>
      </c>
      <c r="L51" s="3" t="s">
        <v>15</v>
      </c>
    </row>
    <row r="52" spans="1:12" x14ac:dyDescent="0.3">
      <c r="A52" s="3" t="s">
        <v>136</v>
      </c>
      <c r="B52" s="3" t="s">
        <v>91</v>
      </c>
      <c r="C52" s="13" t="str">
        <f t="shared" si="0"/>
        <v>October</v>
      </c>
      <c r="D52" s="3" t="s">
        <v>18</v>
      </c>
      <c r="E52" s="14" t="s">
        <v>839</v>
      </c>
      <c r="F52" s="3" t="s">
        <v>25</v>
      </c>
      <c r="G52" s="3" t="s">
        <v>42</v>
      </c>
      <c r="H52" s="3" t="s">
        <v>43</v>
      </c>
      <c r="I52" s="3">
        <v>4</v>
      </c>
      <c r="J52" s="3">
        <v>216</v>
      </c>
      <c r="K52" s="3">
        <v>864</v>
      </c>
      <c r="L52" s="3" t="s">
        <v>15</v>
      </c>
    </row>
    <row r="53" spans="1:12" x14ac:dyDescent="0.3">
      <c r="A53" s="3" t="s">
        <v>137</v>
      </c>
      <c r="B53" s="3" t="s">
        <v>138</v>
      </c>
      <c r="C53" s="13" t="str">
        <f t="shared" si="0"/>
        <v>July</v>
      </c>
      <c r="D53" s="3" t="s">
        <v>54</v>
      </c>
      <c r="E53" s="14" t="s">
        <v>839</v>
      </c>
      <c r="F53" s="3" t="s">
        <v>12</v>
      </c>
      <c r="G53" s="3" t="s">
        <v>42</v>
      </c>
      <c r="H53" s="3" t="s">
        <v>43</v>
      </c>
      <c r="I53" s="3">
        <v>2</v>
      </c>
      <c r="J53" s="3">
        <v>222</v>
      </c>
      <c r="K53" s="3">
        <v>444</v>
      </c>
      <c r="L53" s="3" t="s">
        <v>15</v>
      </c>
    </row>
    <row r="54" spans="1:12" x14ac:dyDescent="0.3">
      <c r="A54" s="3" t="s">
        <v>139</v>
      </c>
      <c r="B54" s="3" t="s">
        <v>129</v>
      </c>
      <c r="C54" s="13" t="str">
        <f t="shared" si="0"/>
        <v>November</v>
      </c>
      <c r="D54" s="3" t="s">
        <v>11</v>
      </c>
      <c r="E54" s="14" t="s">
        <v>839</v>
      </c>
      <c r="F54" s="3" t="s">
        <v>30</v>
      </c>
      <c r="G54" s="3" t="s">
        <v>31</v>
      </c>
      <c r="H54" s="3" t="s">
        <v>14</v>
      </c>
      <c r="I54" s="3">
        <v>2</v>
      </c>
      <c r="J54" s="3">
        <v>199</v>
      </c>
      <c r="K54" s="3">
        <v>398</v>
      </c>
      <c r="L54" s="3" t="s">
        <v>15</v>
      </c>
    </row>
    <row r="55" spans="1:12" x14ac:dyDescent="0.3">
      <c r="A55" s="3" t="s">
        <v>140</v>
      </c>
      <c r="B55" s="3" t="s">
        <v>105</v>
      </c>
      <c r="C55" s="13" t="str">
        <f t="shared" si="0"/>
        <v>January</v>
      </c>
      <c r="D55" s="3" t="s">
        <v>46</v>
      </c>
      <c r="E55" s="14" t="s">
        <v>839</v>
      </c>
      <c r="F55" s="3" t="s">
        <v>25</v>
      </c>
      <c r="G55" s="3" t="s">
        <v>57</v>
      </c>
      <c r="H55" s="3" t="s">
        <v>14</v>
      </c>
      <c r="I55" s="3">
        <v>2</v>
      </c>
      <c r="J55" s="3">
        <v>197</v>
      </c>
      <c r="K55" s="3">
        <v>394</v>
      </c>
      <c r="L55" s="3" t="s">
        <v>32</v>
      </c>
    </row>
    <row r="56" spans="1:12" x14ac:dyDescent="0.3">
      <c r="A56" s="3" t="s">
        <v>141</v>
      </c>
      <c r="B56" s="3" t="s">
        <v>85</v>
      </c>
      <c r="C56" s="13" t="str">
        <f t="shared" si="0"/>
        <v>June</v>
      </c>
      <c r="D56" s="3" t="s">
        <v>54</v>
      </c>
      <c r="E56" s="14" t="s">
        <v>839</v>
      </c>
      <c r="F56" s="3" t="s">
        <v>12</v>
      </c>
      <c r="G56" s="3" t="s">
        <v>79</v>
      </c>
      <c r="H56" s="3" t="s">
        <v>20</v>
      </c>
      <c r="I56" s="3">
        <v>3</v>
      </c>
      <c r="J56" s="3">
        <v>140</v>
      </c>
      <c r="K56" s="3">
        <v>420</v>
      </c>
      <c r="L56" s="3" t="s">
        <v>32</v>
      </c>
    </row>
    <row r="57" spans="1:12" x14ac:dyDescent="0.3">
      <c r="A57" s="3" t="s">
        <v>142</v>
      </c>
      <c r="B57" s="3" t="s">
        <v>143</v>
      </c>
      <c r="C57" s="13" t="str">
        <f t="shared" si="0"/>
        <v>August</v>
      </c>
      <c r="D57" s="3" t="s">
        <v>840</v>
      </c>
      <c r="E57" s="14" t="s">
        <v>839</v>
      </c>
      <c r="F57" s="3" t="s">
        <v>30</v>
      </c>
      <c r="G57" s="3" t="s">
        <v>42</v>
      </c>
      <c r="H57" s="3" t="s">
        <v>43</v>
      </c>
      <c r="I57" s="3">
        <v>4</v>
      </c>
      <c r="J57" s="3">
        <v>239</v>
      </c>
      <c r="K57" s="3">
        <v>956</v>
      </c>
      <c r="L57" s="3" t="s">
        <v>38</v>
      </c>
    </row>
    <row r="58" spans="1:12" x14ac:dyDescent="0.3">
      <c r="A58" s="3" t="s">
        <v>144</v>
      </c>
      <c r="B58" s="3" t="s">
        <v>145</v>
      </c>
      <c r="C58" s="13" t="str">
        <f t="shared" si="0"/>
        <v>September</v>
      </c>
      <c r="D58" s="3" t="s">
        <v>840</v>
      </c>
      <c r="E58" s="14" t="s">
        <v>839</v>
      </c>
      <c r="F58" s="3" t="s">
        <v>30</v>
      </c>
      <c r="G58" s="3" t="s">
        <v>66</v>
      </c>
      <c r="H58" s="3" t="s">
        <v>43</v>
      </c>
      <c r="I58" s="3">
        <v>3</v>
      </c>
      <c r="J58" s="3">
        <v>120</v>
      </c>
      <c r="K58" s="3">
        <v>360</v>
      </c>
      <c r="L58" s="3" t="s">
        <v>21</v>
      </c>
    </row>
    <row r="59" spans="1:12" x14ac:dyDescent="0.3">
      <c r="A59" s="3" t="s">
        <v>146</v>
      </c>
      <c r="B59" s="3" t="s">
        <v>147</v>
      </c>
      <c r="C59" s="13" t="str">
        <f t="shared" si="0"/>
        <v>February</v>
      </c>
      <c r="D59" s="3" t="s">
        <v>840</v>
      </c>
      <c r="E59" s="14" t="s">
        <v>839</v>
      </c>
      <c r="F59" s="3" t="s">
        <v>41</v>
      </c>
      <c r="G59" s="3" t="s">
        <v>57</v>
      </c>
      <c r="H59" s="3" t="s">
        <v>14</v>
      </c>
      <c r="I59" s="3">
        <v>5</v>
      </c>
      <c r="J59" s="3">
        <v>207</v>
      </c>
      <c r="K59" s="3">
        <v>1035</v>
      </c>
      <c r="L59" s="3" t="s">
        <v>38</v>
      </c>
    </row>
    <row r="60" spans="1:12" x14ac:dyDescent="0.3">
      <c r="A60" s="3" t="s">
        <v>148</v>
      </c>
      <c r="B60" s="3" t="s">
        <v>149</v>
      </c>
      <c r="C60" s="13" t="str">
        <f t="shared" si="0"/>
        <v>April</v>
      </c>
      <c r="D60" s="3" t="s">
        <v>24</v>
      </c>
      <c r="E60" s="14" t="s">
        <v>839</v>
      </c>
      <c r="F60" s="3" t="s">
        <v>37</v>
      </c>
      <c r="G60" s="3" t="s">
        <v>74</v>
      </c>
      <c r="H60" s="3" t="s">
        <v>27</v>
      </c>
      <c r="I60" s="3">
        <v>4</v>
      </c>
      <c r="J60" s="3">
        <v>250</v>
      </c>
      <c r="K60" s="3">
        <v>1000</v>
      </c>
      <c r="L60" s="3" t="s">
        <v>38</v>
      </c>
    </row>
    <row r="61" spans="1:12" x14ac:dyDescent="0.3">
      <c r="A61" s="3" t="s">
        <v>150</v>
      </c>
      <c r="B61" s="3" t="s">
        <v>151</v>
      </c>
      <c r="C61" s="13" t="str">
        <f t="shared" si="0"/>
        <v>June</v>
      </c>
      <c r="D61" s="3" t="s">
        <v>840</v>
      </c>
      <c r="E61" s="14" t="s">
        <v>839</v>
      </c>
      <c r="F61" s="3" t="s">
        <v>25</v>
      </c>
      <c r="G61" s="3" t="s">
        <v>74</v>
      </c>
      <c r="H61" s="3" t="s">
        <v>27</v>
      </c>
      <c r="I61" s="3">
        <v>5</v>
      </c>
      <c r="J61" s="3">
        <v>246</v>
      </c>
      <c r="K61" s="3">
        <v>1230</v>
      </c>
      <c r="L61" s="3" t="s">
        <v>15</v>
      </c>
    </row>
    <row r="62" spans="1:12" x14ac:dyDescent="0.3">
      <c r="A62" s="3" t="s">
        <v>152</v>
      </c>
      <c r="B62" s="3" t="s">
        <v>153</v>
      </c>
      <c r="C62" s="13" t="str">
        <f t="shared" si="0"/>
        <v>September</v>
      </c>
      <c r="D62" s="3" t="s">
        <v>54</v>
      </c>
      <c r="E62" s="14" t="s">
        <v>839</v>
      </c>
      <c r="F62" s="3" t="s">
        <v>30</v>
      </c>
      <c r="G62" s="3" t="s">
        <v>74</v>
      </c>
      <c r="H62" s="3" t="s">
        <v>27</v>
      </c>
      <c r="I62" s="3">
        <v>3</v>
      </c>
      <c r="J62" s="3">
        <v>270</v>
      </c>
      <c r="K62" s="3">
        <v>810</v>
      </c>
      <c r="L62" s="3" t="s">
        <v>21</v>
      </c>
    </row>
    <row r="63" spans="1:12" x14ac:dyDescent="0.3">
      <c r="A63" s="3" t="s">
        <v>154</v>
      </c>
      <c r="B63" s="3" t="s">
        <v>155</v>
      </c>
      <c r="C63" s="13" t="str">
        <f t="shared" si="0"/>
        <v>August</v>
      </c>
      <c r="D63" s="3" t="s">
        <v>18</v>
      </c>
      <c r="E63" s="14" t="s">
        <v>839</v>
      </c>
      <c r="F63" s="3" t="s">
        <v>30</v>
      </c>
      <c r="G63" s="3" t="s">
        <v>31</v>
      </c>
      <c r="H63" s="3" t="s">
        <v>14</v>
      </c>
      <c r="I63" s="3">
        <v>1</v>
      </c>
      <c r="J63" s="3">
        <v>194</v>
      </c>
      <c r="K63" s="3">
        <v>194</v>
      </c>
      <c r="L63" s="3" t="s">
        <v>21</v>
      </c>
    </row>
    <row r="64" spans="1:12" x14ac:dyDescent="0.3">
      <c r="A64" s="3" t="s">
        <v>156</v>
      </c>
      <c r="B64" s="3" t="s">
        <v>157</v>
      </c>
      <c r="C64" s="13" t="str">
        <f t="shared" si="0"/>
        <v>August</v>
      </c>
      <c r="D64" s="3" t="s">
        <v>24</v>
      </c>
      <c r="E64" s="14" t="s">
        <v>839</v>
      </c>
      <c r="F64" s="3" t="s">
        <v>12</v>
      </c>
      <c r="G64" s="3" t="s">
        <v>31</v>
      </c>
      <c r="H64" s="3" t="s">
        <v>14</v>
      </c>
      <c r="I64" s="3">
        <v>3</v>
      </c>
      <c r="J64" s="3">
        <v>182</v>
      </c>
      <c r="K64" s="3">
        <v>546</v>
      </c>
      <c r="L64" s="3" t="s">
        <v>32</v>
      </c>
    </row>
    <row r="65" spans="1:12" x14ac:dyDescent="0.3">
      <c r="A65" s="3" t="s">
        <v>158</v>
      </c>
      <c r="B65" s="3" t="s">
        <v>159</v>
      </c>
      <c r="C65" s="13" t="str">
        <f t="shared" si="0"/>
        <v>February</v>
      </c>
      <c r="D65" s="3" t="s">
        <v>11</v>
      </c>
      <c r="E65" s="14" t="s">
        <v>839</v>
      </c>
      <c r="F65" s="3" t="s">
        <v>25</v>
      </c>
      <c r="G65" s="3" t="s">
        <v>42</v>
      </c>
      <c r="H65" s="3" t="s">
        <v>43</v>
      </c>
      <c r="I65" s="3">
        <v>3</v>
      </c>
      <c r="J65" s="3">
        <v>206</v>
      </c>
      <c r="K65" s="3">
        <v>618</v>
      </c>
      <c r="L65" s="3" t="s">
        <v>32</v>
      </c>
    </row>
    <row r="66" spans="1:12" x14ac:dyDescent="0.3">
      <c r="A66" s="3" t="s">
        <v>160</v>
      </c>
      <c r="B66" s="3" t="s">
        <v>161</v>
      </c>
      <c r="C66" s="13" t="str">
        <f t="shared" si="0"/>
        <v>March</v>
      </c>
      <c r="D66" s="3" t="s">
        <v>54</v>
      </c>
      <c r="E66" s="14" t="s">
        <v>839</v>
      </c>
      <c r="F66" s="3" t="s">
        <v>25</v>
      </c>
      <c r="G66" s="3" t="s">
        <v>69</v>
      </c>
      <c r="H66" s="3" t="s">
        <v>14</v>
      </c>
      <c r="I66" s="3">
        <v>1</v>
      </c>
      <c r="J66" s="3">
        <v>158</v>
      </c>
      <c r="K66" s="3">
        <v>158</v>
      </c>
      <c r="L66" s="3" t="s">
        <v>38</v>
      </c>
    </row>
    <row r="67" spans="1:12" x14ac:dyDescent="0.3">
      <c r="A67" s="3" t="s">
        <v>162</v>
      </c>
      <c r="B67" s="3" t="s">
        <v>163</v>
      </c>
      <c r="C67" s="13" t="str">
        <f t="shared" ref="C67:C130" si="1">TEXT(B67,"mmmm")</f>
        <v>December</v>
      </c>
      <c r="D67" s="3" t="s">
        <v>24</v>
      </c>
      <c r="E67" s="14" t="s">
        <v>839</v>
      </c>
      <c r="F67" s="3" t="s">
        <v>25</v>
      </c>
      <c r="G67" s="3" t="s">
        <v>74</v>
      </c>
      <c r="H67" s="3" t="s">
        <v>27</v>
      </c>
      <c r="I67" s="3">
        <v>1</v>
      </c>
      <c r="J67" s="3">
        <v>245</v>
      </c>
      <c r="K67" s="3">
        <v>245</v>
      </c>
      <c r="L67" s="3" t="s">
        <v>32</v>
      </c>
    </row>
    <row r="68" spans="1:12" x14ac:dyDescent="0.3">
      <c r="A68" s="3" t="s">
        <v>164</v>
      </c>
      <c r="B68" s="3" t="s">
        <v>165</v>
      </c>
      <c r="C68" s="13" t="str">
        <f t="shared" si="1"/>
        <v>July</v>
      </c>
      <c r="D68" s="3" t="s">
        <v>24</v>
      </c>
      <c r="E68" s="14" t="s">
        <v>839</v>
      </c>
      <c r="F68" s="3" t="s">
        <v>12</v>
      </c>
      <c r="G68" s="3" t="s">
        <v>66</v>
      </c>
      <c r="H68" s="3" t="s">
        <v>43</v>
      </c>
      <c r="I68" s="3">
        <v>1</v>
      </c>
      <c r="J68" s="3">
        <v>113</v>
      </c>
      <c r="K68" s="3">
        <v>113</v>
      </c>
      <c r="L68" s="3" t="s">
        <v>32</v>
      </c>
    </row>
    <row r="69" spans="1:12" x14ac:dyDescent="0.3">
      <c r="A69" s="3" t="s">
        <v>166</v>
      </c>
      <c r="B69" s="3" t="s">
        <v>167</v>
      </c>
      <c r="C69" s="13" t="str">
        <f t="shared" si="1"/>
        <v>September</v>
      </c>
      <c r="D69" s="3" t="s">
        <v>11</v>
      </c>
      <c r="E69" s="14" t="s">
        <v>839</v>
      </c>
      <c r="F69" s="3" t="s">
        <v>30</v>
      </c>
      <c r="G69" s="3" t="s">
        <v>69</v>
      </c>
      <c r="H69" s="3" t="s">
        <v>14</v>
      </c>
      <c r="I69" s="3">
        <v>2</v>
      </c>
      <c r="J69" s="3">
        <v>161</v>
      </c>
      <c r="K69" s="3">
        <v>322</v>
      </c>
      <c r="L69" s="3" t="s">
        <v>15</v>
      </c>
    </row>
    <row r="70" spans="1:12" x14ac:dyDescent="0.3">
      <c r="A70" s="3" t="s">
        <v>168</v>
      </c>
      <c r="B70" s="3" t="s">
        <v>120</v>
      </c>
      <c r="C70" s="13" t="str">
        <f t="shared" si="1"/>
        <v>July</v>
      </c>
      <c r="D70" s="3" t="s">
        <v>54</v>
      </c>
      <c r="E70" s="14" t="s">
        <v>839</v>
      </c>
      <c r="F70" s="3" t="s">
        <v>37</v>
      </c>
      <c r="G70" s="3" t="s">
        <v>66</v>
      </c>
      <c r="H70" s="3" t="s">
        <v>43</v>
      </c>
      <c r="I70" s="3">
        <v>1</v>
      </c>
      <c r="J70" s="3">
        <v>106</v>
      </c>
      <c r="K70" s="3">
        <v>106</v>
      </c>
      <c r="L70" s="3" t="s">
        <v>21</v>
      </c>
    </row>
    <row r="71" spans="1:12" x14ac:dyDescent="0.3">
      <c r="A71" s="3" t="s">
        <v>169</v>
      </c>
      <c r="B71" s="3" t="s">
        <v>170</v>
      </c>
      <c r="C71" s="13" t="str">
        <f t="shared" si="1"/>
        <v>November</v>
      </c>
      <c r="D71" s="3" t="s">
        <v>11</v>
      </c>
      <c r="E71" s="14" t="s">
        <v>839</v>
      </c>
      <c r="F71" s="3" t="s">
        <v>25</v>
      </c>
      <c r="G71" s="3" t="s">
        <v>74</v>
      </c>
      <c r="H71" s="3" t="s">
        <v>27</v>
      </c>
      <c r="I71" s="3">
        <v>1</v>
      </c>
      <c r="J71" s="3">
        <v>245</v>
      </c>
      <c r="K71" s="3">
        <v>245</v>
      </c>
      <c r="L71" s="3" t="s">
        <v>15</v>
      </c>
    </row>
    <row r="72" spans="1:12" x14ac:dyDescent="0.3">
      <c r="A72" s="3" t="s">
        <v>171</v>
      </c>
      <c r="B72" s="3" t="s">
        <v>172</v>
      </c>
      <c r="C72" s="13" t="str">
        <f t="shared" si="1"/>
        <v>May</v>
      </c>
      <c r="D72" s="3" t="s">
        <v>51</v>
      </c>
      <c r="E72" s="14" t="s">
        <v>839</v>
      </c>
      <c r="F72" s="3" t="s">
        <v>25</v>
      </c>
      <c r="G72" s="3" t="s">
        <v>26</v>
      </c>
      <c r="H72" s="3" t="s">
        <v>27</v>
      </c>
      <c r="I72" s="3">
        <v>4</v>
      </c>
      <c r="J72" s="3">
        <v>160</v>
      </c>
      <c r="K72" s="3">
        <v>640</v>
      </c>
      <c r="L72" s="3" t="s">
        <v>15</v>
      </c>
    </row>
    <row r="73" spans="1:12" x14ac:dyDescent="0.3">
      <c r="A73" s="3" t="s">
        <v>173</v>
      </c>
      <c r="B73" s="3" t="s">
        <v>174</v>
      </c>
      <c r="C73" s="13" t="str">
        <f t="shared" si="1"/>
        <v>October</v>
      </c>
      <c r="D73" s="3" t="s">
        <v>24</v>
      </c>
      <c r="E73" s="14" t="s">
        <v>839</v>
      </c>
      <c r="F73" s="3" t="s">
        <v>25</v>
      </c>
      <c r="G73" s="3" t="s">
        <v>74</v>
      </c>
      <c r="H73" s="3" t="s">
        <v>27</v>
      </c>
      <c r="I73" s="3">
        <v>2</v>
      </c>
      <c r="J73" s="3">
        <v>256</v>
      </c>
      <c r="K73" s="3">
        <v>512</v>
      </c>
      <c r="L73" s="3" t="s">
        <v>38</v>
      </c>
    </row>
    <row r="74" spans="1:12" x14ac:dyDescent="0.3">
      <c r="A74" s="3" t="s">
        <v>175</v>
      </c>
      <c r="B74" s="3" t="s">
        <v>176</v>
      </c>
      <c r="C74" s="13" t="str">
        <f t="shared" si="1"/>
        <v>July</v>
      </c>
      <c r="D74" s="3" t="s">
        <v>24</v>
      </c>
      <c r="E74" s="14" t="s">
        <v>839</v>
      </c>
      <c r="F74" s="3" t="s">
        <v>37</v>
      </c>
      <c r="G74" s="3" t="s">
        <v>31</v>
      </c>
      <c r="H74" s="3" t="s">
        <v>14</v>
      </c>
      <c r="I74" s="3">
        <v>3</v>
      </c>
      <c r="J74" s="3">
        <v>201</v>
      </c>
      <c r="K74" s="3">
        <v>603</v>
      </c>
      <c r="L74" s="3" t="s">
        <v>38</v>
      </c>
    </row>
    <row r="75" spans="1:12" x14ac:dyDescent="0.3">
      <c r="A75" s="3" t="s">
        <v>177</v>
      </c>
      <c r="B75" s="3" t="s">
        <v>178</v>
      </c>
      <c r="C75" s="13" t="str">
        <f t="shared" si="1"/>
        <v>March</v>
      </c>
      <c r="D75" s="3" t="s">
        <v>51</v>
      </c>
      <c r="E75" s="14" t="s">
        <v>839</v>
      </c>
      <c r="F75" s="3" t="s">
        <v>30</v>
      </c>
      <c r="G75" s="3" t="s">
        <v>26</v>
      </c>
      <c r="H75" s="3" t="s">
        <v>27</v>
      </c>
      <c r="I75" s="3">
        <v>5</v>
      </c>
      <c r="J75" s="3">
        <v>190</v>
      </c>
      <c r="K75" s="3">
        <v>950</v>
      </c>
      <c r="L75" s="3" t="s">
        <v>32</v>
      </c>
    </row>
    <row r="76" spans="1:12" x14ac:dyDescent="0.3">
      <c r="A76" s="3" t="s">
        <v>179</v>
      </c>
      <c r="B76" s="3" t="s">
        <v>53</v>
      </c>
      <c r="C76" s="13" t="str">
        <f t="shared" si="1"/>
        <v>February</v>
      </c>
      <c r="D76" s="3" t="s">
        <v>46</v>
      </c>
      <c r="E76" s="14" t="s">
        <v>839</v>
      </c>
      <c r="F76" s="3" t="s">
        <v>41</v>
      </c>
      <c r="G76" s="3" t="s">
        <v>13</v>
      </c>
      <c r="H76" s="3" t="s">
        <v>14</v>
      </c>
      <c r="I76" s="3">
        <v>4</v>
      </c>
      <c r="J76" s="3">
        <v>178</v>
      </c>
      <c r="K76" s="3">
        <v>712</v>
      </c>
      <c r="L76" s="3" t="s">
        <v>21</v>
      </c>
    </row>
    <row r="77" spans="1:12" x14ac:dyDescent="0.3">
      <c r="A77" s="3" t="s">
        <v>180</v>
      </c>
      <c r="B77" s="3" t="s">
        <v>181</v>
      </c>
      <c r="C77" s="13" t="str">
        <f t="shared" si="1"/>
        <v>April</v>
      </c>
      <c r="D77" s="3" t="s">
        <v>840</v>
      </c>
      <c r="E77" s="14" t="s">
        <v>839</v>
      </c>
      <c r="F77" s="3" t="s">
        <v>41</v>
      </c>
      <c r="G77" s="3" t="s">
        <v>31</v>
      </c>
      <c r="H77" s="3" t="s">
        <v>14</v>
      </c>
      <c r="I77" s="3">
        <v>4</v>
      </c>
      <c r="J77" s="3">
        <v>219</v>
      </c>
      <c r="K77" s="3">
        <v>876</v>
      </c>
      <c r="L77" s="3" t="s">
        <v>38</v>
      </c>
    </row>
    <row r="78" spans="1:12" x14ac:dyDescent="0.3">
      <c r="A78" s="3" t="s">
        <v>182</v>
      </c>
      <c r="B78" s="3" t="s">
        <v>183</v>
      </c>
      <c r="C78" s="13" t="str">
        <f t="shared" si="1"/>
        <v>July</v>
      </c>
      <c r="D78" s="3" t="s">
        <v>840</v>
      </c>
      <c r="E78" s="14" t="s">
        <v>839</v>
      </c>
      <c r="F78" s="3" t="s">
        <v>37</v>
      </c>
      <c r="G78" s="3" t="s">
        <v>69</v>
      </c>
      <c r="H78" s="3" t="s">
        <v>14</v>
      </c>
      <c r="I78" s="3">
        <v>1</v>
      </c>
      <c r="J78" s="3">
        <v>134</v>
      </c>
      <c r="K78" s="3">
        <v>134</v>
      </c>
      <c r="L78" s="3" t="s">
        <v>32</v>
      </c>
    </row>
    <row r="79" spans="1:12" x14ac:dyDescent="0.3">
      <c r="A79" s="3" t="s">
        <v>184</v>
      </c>
      <c r="B79" s="3" t="s">
        <v>185</v>
      </c>
      <c r="C79" s="13" t="str">
        <f t="shared" si="1"/>
        <v>April</v>
      </c>
      <c r="D79" s="3" t="s">
        <v>18</v>
      </c>
      <c r="E79" s="14" t="s">
        <v>839</v>
      </c>
      <c r="F79" s="3" t="s">
        <v>25</v>
      </c>
      <c r="G79" s="3" t="s">
        <v>74</v>
      </c>
      <c r="H79" s="3" t="s">
        <v>27</v>
      </c>
      <c r="I79" s="3">
        <v>4</v>
      </c>
      <c r="J79" s="3">
        <v>240</v>
      </c>
      <c r="K79" s="3">
        <v>960</v>
      </c>
      <c r="L79" s="3" t="s">
        <v>21</v>
      </c>
    </row>
    <row r="80" spans="1:12" x14ac:dyDescent="0.3">
      <c r="A80" s="3" t="s">
        <v>186</v>
      </c>
      <c r="B80" s="3" t="s">
        <v>187</v>
      </c>
      <c r="C80" s="13" t="str">
        <f t="shared" si="1"/>
        <v>April</v>
      </c>
      <c r="D80" s="3" t="s">
        <v>24</v>
      </c>
      <c r="E80" s="14" t="s">
        <v>839</v>
      </c>
      <c r="F80" s="3" t="s">
        <v>12</v>
      </c>
      <c r="G80" s="3" t="s">
        <v>31</v>
      </c>
      <c r="H80" s="3" t="s">
        <v>14</v>
      </c>
      <c r="I80" s="3">
        <v>2</v>
      </c>
      <c r="J80" s="3">
        <v>200</v>
      </c>
      <c r="K80" s="3">
        <v>400</v>
      </c>
      <c r="L80" s="3" t="s">
        <v>32</v>
      </c>
    </row>
    <row r="81" spans="1:12" x14ac:dyDescent="0.3">
      <c r="A81" s="3" t="s">
        <v>188</v>
      </c>
      <c r="B81" s="3" t="s">
        <v>189</v>
      </c>
      <c r="C81" s="13" t="str">
        <f t="shared" si="1"/>
        <v>October</v>
      </c>
      <c r="D81" s="3" t="s">
        <v>51</v>
      </c>
      <c r="E81" s="14" t="s">
        <v>839</v>
      </c>
      <c r="F81" s="3" t="s">
        <v>41</v>
      </c>
      <c r="G81" s="3" t="s">
        <v>69</v>
      </c>
      <c r="H81" s="3" t="s">
        <v>14</v>
      </c>
      <c r="I81" s="3">
        <v>1</v>
      </c>
      <c r="J81" s="3">
        <v>147</v>
      </c>
      <c r="K81" s="3">
        <v>147</v>
      </c>
      <c r="L81" s="3" t="s">
        <v>21</v>
      </c>
    </row>
    <row r="82" spans="1:12" x14ac:dyDescent="0.3">
      <c r="A82" s="3" t="s">
        <v>190</v>
      </c>
      <c r="B82" s="3" t="s">
        <v>191</v>
      </c>
      <c r="C82" s="13" t="str">
        <f t="shared" si="1"/>
        <v>November</v>
      </c>
      <c r="D82" s="3" t="s">
        <v>54</v>
      </c>
      <c r="E82" s="14" t="s">
        <v>839</v>
      </c>
      <c r="F82" s="3" t="s">
        <v>30</v>
      </c>
      <c r="G82" s="3" t="s">
        <v>19</v>
      </c>
      <c r="H82" s="3" t="s">
        <v>20</v>
      </c>
      <c r="I82" s="3">
        <v>4</v>
      </c>
      <c r="J82" s="3">
        <v>127</v>
      </c>
      <c r="K82" s="3">
        <v>508</v>
      </c>
      <c r="L82" s="3" t="s">
        <v>38</v>
      </c>
    </row>
    <row r="83" spans="1:12" x14ac:dyDescent="0.3">
      <c r="A83" s="3" t="s">
        <v>192</v>
      </c>
      <c r="B83" s="3" t="s">
        <v>193</v>
      </c>
      <c r="C83" s="13" t="str">
        <f t="shared" si="1"/>
        <v>April</v>
      </c>
      <c r="D83" s="3" t="s">
        <v>51</v>
      </c>
      <c r="E83" s="14" t="s">
        <v>839</v>
      </c>
      <c r="F83" s="3" t="s">
        <v>41</v>
      </c>
      <c r="G83" s="3" t="s">
        <v>31</v>
      </c>
      <c r="H83" s="3" t="s">
        <v>14</v>
      </c>
      <c r="I83" s="3">
        <v>5</v>
      </c>
      <c r="J83" s="3">
        <v>185</v>
      </c>
      <c r="K83" s="3">
        <v>925</v>
      </c>
      <c r="L83" s="3" t="s">
        <v>15</v>
      </c>
    </row>
    <row r="84" spans="1:12" x14ac:dyDescent="0.3">
      <c r="A84" s="3" t="s">
        <v>194</v>
      </c>
      <c r="B84" s="3" t="s">
        <v>195</v>
      </c>
      <c r="C84" s="13" t="str">
        <f t="shared" si="1"/>
        <v>March</v>
      </c>
      <c r="D84" s="3" t="s">
        <v>24</v>
      </c>
      <c r="E84" s="14" t="s">
        <v>839</v>
      </c>
      <c r="F84" s="3" t="s">
        <v>41</v>
      </c>
      <c r="G84" s="3" t="s">
        <v>42</v>
      </c>
      <c r="H84" s="3" t="s">
        <v>43</v>
      </c>
      <c r="I84" s="3">
        <v>3</v>
      </c>
      <c r="J84" s="3">
        <v>215</v>
      </c>
      <c r="K84" s="3">
        <v>645</v>
      </c>
      <c r="L84" s="3" t="s">
        <v>38</v>
      </c>
    </row>
    <row r="85" spans="1:12" x14ac:dyDescent="0.3">
      <c r="A85" s="3" t="s">
        <v>196</v>
      </c>
      <c r="B85" s="3" t="s">
        <v>197</v>
      </c>
      <c r="C85" s="13" t="str">
        <f t="shared" si="1"/>
        <v>November</v>
      </c>
      <c r="D85" s="3" t="s">
        <v>24</v>
      </c>
      <c r="E85" s="14" t="s">
        <v>839</v>
      </c>
      <c r="F85" s="3" t="s">
        <v>25</v>
      </c>
      <c r="G85" s="3" t="s">
        <v>66</v>
      </c>
      <c r="H85" s="3" t="s">
        <v>43</v>
      </c>
      <c r="I85" s="3">
        <v>1</v>
      </c>
      <c r="J85" s="3">
        <v>114</v>
      </c>
      <c r="K85" s="3">
        <v>114</v>
      </c>
      <c r="L85" s="3" t="s">
        <v>21</v>
      </c>
    </row>
    <row r="86" spans="1:12" x14ac:dyDescent="0.3">
      <c r="A86" s="3" t="s">
        <v>198</v>
      </c>
      <c r="B86" s="3" t="s">
        <v>23</v>
      </c>
      <c r="C86" s="13" t="str">
        <f t="shared" si="1"/>
        <v>March</v>
      </c>
      <c r="D86" s="3" t="s">
        <v>18</v>
      </c>
      <c r="E86" s="14" t="s">
        <v>839</v>
      </c>
      <c r="F86" s="3" t="s">
        <v>41</v>
      </c>
      <c r="G86" s="3" t="s">
        <v>79</v>
      </c>
      <c r="H86" s="3" t="s">
        <v>20</v>
      </c>
      <c r="I86" s="3">
        <v>2</v>
      </c>
      <c r="J86" s="3">
        <v>147</v>
      </c>
      <c r="K86" s="3">
        <v>294</v>
      </c>
      <c r="L86" s="3" t="s">
        <v>32</v>
      </c>
    </row>
    <row r="87" spans="1:12" x14ac:dyDescent="0.3">
      <c r="A87" s="3" t="s">
        <v>199</v>
      </c>
      <c r="B87" s="3" t="s">
        <v>200</v>
      </c>
      <c r="C87" s="13" t="str">
        <f t="shared" si="1"/>
        <v>November</v>
      </c>
      <c r="D87" s="3" t="s">
        <v>840</v>
      </c>
      <c r="E87" s="14" t="s">
        <v>839</v>
      </c>
      <c r="F87" s="3" t="s">
        <v>12</v>
      </c>
      <c r="G87" s="3" t="s">
        <v>31</v>
      </c>
      <c r="H87" s="3" t="s">
        <v>14</v>
      </c>
      <c r="I87" s="3">
        <v>3</v>
      </c>
      <c r="J87" s="3">
        <v>194</v>
      </c>
      <c r="K87" s="3">
        <v>582</v>
      </c>
      <c r="L87" s="3" t="s">
        <v>32</v>
      </c>
    </row>
    <row r="88" spans="1:12" x14ac:dyDescent="0.3">
      <c r="A88" s="3" t="s">
        <v>201</v>
      </c>
      <c r="B88" s="3" t="s">
        <v>202</v>
      </c>
      <c r="C88" s="13" t="str">
        <f t="shared" si="1"/>
        <v>April</v>
      </c>
      <c r="D88" s="3" t="s">
        <v>24</v>
      </c>
      <c r="E88" s="14" t="s">
        <v>839</v>
      </c>
      <c r="F88" s="3" t="s">
        <v>41</v>
      </c>
      <c r="G88" s="3" t="s">
        <v>19</v>
      </c>
      <c r="H88" s="3" t="s">
        <v>20</v>
      </c>
      <c r="I88" s="3">
        <v>3</v>
      </c>
      <c r="J88" s="3">
        <v>138</v>
      </c>
      <c r="K88" s="3">
        <v>414</v>
      </c>
      <c r="L88" s="3" t="s">
        <v>32</v>
      </c>
    </row>
    <row r="89" spans="1:12" x14ac:dyDescent="0.3">
      <c r="A89" s="3" t="s">
        <v>203</v>
      </c>
      <c r="B89" s="3" t="s">
        <v>204</v>
      </c>
      <c r="C89" s="13" t="str">
        <f t="shared" si="1"/>
        <v>May</v>
      </c>
      <c r="D89" s="3" t="s">
        <v>24</v>
      </c>
      <c r="E89" s="14" t="s">
        <v>839</v>
      </c>
      <c r="F89" s="3" t="s">
        <v>41</v>
      </c>
      <c r="G89" s="3" t="s">
        <v>19</v>
      </c>
      <c r="H89" s="3" t="s">
        <v>20</v>
      </c>
      <c r="I89" s="3">
        <v>2</v>
      </c>
      <c r="J89" s="3">
        <v>151</v>
      </c>
      <c r="K89" s="3">
        <v>302</v>
      </c>
      <c r="L89" s="3" t="s">
        <v>32</v>
      </c>
    </row>
    <row r="90" spans="1:12" x14ac:dyDescent="0.3">
      <c r="A90" s="3" t="s">
        <v>205</v>
      </c>
      <c r="B90" s="3" t="s">
        <v>161</v>
      </c>
      <c r="C90" s="13" t="str">
        <f t="shared" si="1"/>
        <v>March</v>
      </c>
      <c r="D90" s="3" t="s">
        <v>54</v>
      </c>
      <c r="E90" s="14" t="s">
        <v>839</v>
      </c>
      <c r="F90" s="3" t="s">
        <v>41</v>
      </c>
      <c r="G90" s="3" t="s">
        <v>31</v>
      </c>
      <c r="H90" s="3" t="s">
        <v>14</v>
      </c>
      <c r="I90" s="3">
        <v>1</v>
      </c>
      <c r="J90" s="3">
        <v>199</v>
      </c>
      <c r="K90" s="3">
        <v>199</v>
      </c>
      <c r="L90" s="3" t="s">
        <v>32</v>
      </c>
    </row>
    <row r="91" spans="1:12" x14ac:dyDescent="0.3">
      <c r="A91" s="3" t="s">
        <v>206</v>
      </c>
      <c r="B91" s="3" t="s">
        <v>207</v>
      </c>
      <c r="C91" s="13" t="str">
        <f t="shared" si="1"/>
        <v>June</v>
      </c>
      <c r="D91" s="3" t="s">
        <v>18</v>
      </c>
      <c r="E91" s="14" t="s">
        <v>839</v>
      </c>
      <c r="F91" s="3" t="s">
        <v>30</v>
      </c>
      <c r="G91" s="3" t="s">
        <v>31</v>
      </c>
      <c r="H91" s="3" t="s">
        <v>14</v>
      </c>
      <c r="I91" s="3">
        <v>3</v>
      </c>
      <c r="J91" s="3">
        <v>182</v>
      </c>
      <c r="K91" s="3">
        <v>546</v>
      </c>
      <c r="L91" s="3" t="s">
        <v>21</v>
      </c>
    </row>
    <row r="92" spans="1:12" x14ac:dyDescent="0.3">
      <c r="A92" s="3" t="s">
        <v>208</v>
      </c>
      <c r="B92" s="3" t="s">
        <v>97</v>
      </c>
      <c r="C92" s="13" t="str">
        <f t="shared" si="1"/>
        <v>January</v>
      </c>
      <c r="D92" s="3" t="s">
        <v>840</v>
      </c>
      <c r="E92" s="14" t="s">
        <v>839</v>
      </c>
      <c r="F92" s="3" t="s">
        <v>41</v>
      </c>
      <c r="G92" s="3" t="s">
        <v>31</v>
      </c>
      <c r="H92" s="3" t="s">
        <v>14</v>
      </c>
      <c r="I92" s="3">
        <v>5</v>
      </c>
      <c r="J92" s="3">
        <v>212</v>
      </c>
      <c r="K92" s="3">
        <v>1060</v>
      </c>
      <c r="L92" s="3" t="s">
        <v>32</v>
      </c>
    </row>
    <row r="93" spans="1:12" x14ac:dyDescent="0.3">
      <c r="A93" s="3" t="s">
        <v>209</v>
      </c>
      <c r="B93" s="3" t="s">
        <v>170</v>
      </c>
      <c r="C93" s="13" t="str">
        <f t="shared" si="1"/>
        <v>November</v>
      </c>
      <c r="D93" s="3" t="s">
        <v>18</v>
      </c>
      <c r="E93" s="14" t="s">
        <v>839</v>
      </c>
      <c r="F93" s="3" t="s">
        <v>41</v>
      </c>
      <c r="G93" s="3" t="s">
        <v>74</v>
      </c>
      <c r="H93" s="3" t="s">
        <v>27</v>
      </c>
      <c r="I93" s="3">
        <v>1</v>
      </c>
      <c r="J93" s="3">
        <v>247</v>
      </c>
      <c r="K93" s="3">
        <v>247</v>
      </c>
      <c r="L93" s="3" t="s">
        <v>15</v>
      </c>
    </row>
    <row r="94" spans="1:12" x14ac:dyDescent="0.3">
      <c r="A94" s="3" t="s">
        <v>210</v>
      </c>
      <c r="B94" s="3" t="s">
        <v>211</v>
      </c>
      <c r="C94" s="13" t="str">
        <f t="shared" si="1"/>
        <v>January</v>
      </c>
      <c r="D94" s="3" t="s">
        <v>54</v>
      </c>
      <c r="E94" s="14" t="s">
        <v>839</v>
      </c>
      <c r="F94" s="3" t="s">
        <v>25</v>
      </c>
      <c r="G94" s="3" t="s">
        <v>66</v>
      </c>
      <c r="H94" s="3" t="s">
        <v>43</v>
      </c>
      <c r="I94" s="3">
        <v>4</v>
      </c>
      <c r="J94" s="3">
        <v>118</v>
      </c>
      <c r="K94" s="3">
        <v>472</v>
      </c>
      <c r="L94" s="3" t="s">
        <v>32</v>
      </c>
    </row>
    <row r="95" spans="1:12" x14ac:dyDescent="0.3">
      <c r="A95" s="3" t="s">
        <v>212</v>
      </c>
      <c r="B95" s="3" t="s">
        <v>213</v>
      </c>
      <c r="C95" s="13" t="str">
        <f t="shared" si="1"/>
        <v>January</v>
      </c>
      <c r="D95" s="3" t="s">
        <v>46</v>
      </c>
      <c r="E95" s="14" t="s">
        <v>839</v>
      </c>
      <c r="F95" s="3" t="s">
        <v>41</v>
      </c>
      <c r="G95" s="3" t="s">
        <v>26</v>
      </c>
      <c r="H95" s="3" t="s">
        <v>27</v>
      </c>
      <c r="I95" s="3">
        <v>3</v>
      </c>
      <c r="J95" s="3">
        <v>162</v>
      </c>
      <c r="K95" s="3">
        <v>486</v>
      </c>
      <c r="L95" s="3" t="s">
        <v>32</v>
      </c>
    </row>
    <row r="96" spans="1:12" x14ac:dyDescent="0.3">
      <c r="A96" s="3" t="s">
        <v>214</v>
      </c>
      <c r="B96" s="3" t="s">
        <v>207</v>
      </c>
      <c r="C96" s="13" t="str">
        <f t="shared" si="1"/>
        <v>June</v>
      </c>
      <c r="D96" s="3" t="s">
        <v>11</v>
      </c>
      <c r="E96" s="14" t="s">
        <v>839</v>
      </c>
      <c r="F96" s="3" t="s">
        <v>25</v>
      </c>
      <c r="G96" s="3" t="s">
        <v>66</v>
      </c>
      <c r="H96" s="3" t="s">
        <v>43</v>
      </c>
      <c r="I96" s="3">
        <v>4</v>
      </c>
      <c r="J96" s="3">
        <v>111</v>
      </c>
      <c r="K96" s="3">
        <v>444</v>
      </c>
      <c r="L96" s="3" t="s">
        <v>15</v>
      </c>
    </row>
    <row r="97" spans="1:12" x14ac:dyDescent="0.3">
      <c r="A97" s="3" t="s">
        <v>215</v>
      </c>
      <c r="B97" s="3" t="s">
        <v>195</v>
      </c>
      <c r="C97" s="13" t="str">
        <f t="shared" si="1"/>
        <v>March</v>
      </c>
      <c r="D97" s="3" t="s">
        <v>24</v>
      </c>
      <c r="E97" s="14" t="s">
        <v>839</v>
      </c>
      <c r="F97" s="3" t="s">
        <v>37</v>
      </c>
      <c r="G97" s="3" t="s">
        <v>79</v>
      </c>
      <c r="H97" s="3" t="s">
        <v>20</v>
      </c>
      <c r="I97" s="3">
        <v>1</v>
      </c>
      <c r="J97" s="3">
        <v>162</v>
      </c>
      <c r="K97" s="3">
        <v>162</v>
      </c>
      <c r="L97" s="3" t="s">
        <v>32</v>
      </c>
    </row>
    <row r="98" spans="1:12" x14ac:dyDescent="0.3">
      <c r="A98" s="3" t="s">
        <v>216</v>
      </c>
      <c r="B98" s="3" t="s">
        <v>217</v>
      </c>
      <c r="C98" s="13" t="str">
        <f t="shared" si="1"/>
        <v>July</v>
      </c>
      <c r="D98" s="3" t="s">
        <v>54</v>
      </c>
      <c r="E98" s="14" t="s">
        <v>839</v>
      </c>
      <c r="F98" s="3" t="s">
        <v>41</v>
      </c>
      <c r="G98" s="3" t="s">
        <v>79</v>
      </c>
      <c r="H98" s="3" t="s">
        <v>20</v>
      </c>
      <c r="I98" s="3">
        <v>4</v>
      </c>
      <c r="J98" s="3">
        <v>172</v>
      </c>
      <c r="K98" s="3">
        <v>688</v>
      </c>
      <c r="L98" s="3" t="s">
        <v>32</v>
      </c>
    </row>
    <row r="99" spans="1:12" x14ac:dyDescent="0.3">
      <c r="A99" s="3" t="s">
        <v>218</v>
      </c>
      <c r="B99" s="3" t="s">
        <v>219</v>
      </c>
      <c r="C99" s="13" t="str">
        <f t="shared" si="1"/>
        <v>December</v>
      </c>
      <c r="D99" s="3" t="s">
        <v>51</v>
      </c>
      <c r="E99" s="14" t="s">
        <v>839</v>
      </c>
      <c r="F99" s="3" t="s">
        <v>12</v>
      </c>
      <c r="G99" s="3" t="s">
        <v>57</v>
      </c>
      <c r="H99" s="3" t="s">
        <v>14</v>
      </c>
      <c r="I99" s="3">
        <v>5</v>
      </c>
      <c r="J99" s="3">
        <v>198</v>
      </c>
      <c r="K99" s="3">
        <v>990</v>
      </c>
      <c r="L99" s="3" t="s">
        <v>32</v>
      </c>
    </row>
    <row r="100" spans="1:12" x14ac:dyDescent="0.3">
      <c r="A100" s="3" t="s">
        <v>220</v>
      </c>
      <c r="B100" s="3" t="s">
        <v>221</v>
      </c>
      <c r="C100" s="13" t="str">
        <f t="shared" si="1"/>
        <v>November</v>
      </c>
      <c r="D100" s="3" t="s">
        <v>51</v>
      </c>
      <c r="E100" s="14" t="s">
        <v>839</v>
      </c>
      <c r="F100" s="3" t="s">
        <v>30</v>
      </c>
      <c r="G100" s="3" t="s">
        <v>74</v>
      </c>
      <c r="H100" s="3" t="s">
        <v>27</v>
      </c>
      <c r="I100" s="3">
        <v>2</v>
      </c>
      <c r="J100" s="3">
        <v>246</v>
      </c>
      <c r="K100" s="3">
        <v>492</v>
      </c>
      <c r="L100" s="3" t="s">
        <v>32</v>
      </c>
    </row>
    <row r="101" spans="1:12" x14ac:dyDescent="0.3">
      <c r="A101" s="3" t="s">
        <v>222</v>
      </c>
      <c r="B101" s="3" t="s">
        <v>223</v>
      </c>
      <c r="C101" s="13" t="str">
        <f t="shared" si="1"/>
        <v>August</v>
      </c>
      <c r="D101" s="3" t="s">
        <v>18</v>
      </c>
      <c r="E101" s="14" t="s">
        <v>839</v>
      </c>
      <c r="F101" s="3" t="s">
        <v>12</v>
      </c>
      <c r="G101" s="3" t="s">
        <v>66</v>
      </c>
      <c r="H101" s="3" t="s">
        <v>43</v>
      </c>
      <c r="I101" s="3">
        <v>1</v>
      </c>
      <c r="J101" s="3">
        <v>108</v>
      </c>
      <c r="K101" s="3">
        <v>108</v>
      </c>
      <c r="L101" s="3" t="s">
        <v>38</v>
      </c>
    </row>
    <row r="102" spans="1:12" x14ac:dyDescent="0.3">
      <c r="A102" s="3" t="s">
        <v>224</v>
      </c>
      <c r="B102" s="3" t="s">
        <v>225</v>
      </c>
      <c r="C102" s="13" t="str">
        <f t="shared" si="1"/>
        <v>July</v>
      </c>
      <c r="D102" s="3" t="s">
        <v>11</v>
      </c>
      <c r="E102" s="14" t="s">
        <v>839</v>
      </c>
      <c r="F102" s="3" t="s">
        <v>25</v>
      </c>
      <c r="G102" s="3" t="s">
        <v>42</v>
      </c>
      <c r="H102" s="3" t="s">
        <v>43</v>
      </c>
      <c r="I102" s="3">
        <v>1</v>
      </c>
      <c r="J102" s="3">
        <v>227</v>
      </c>
      <c r="K102" s="3">
        <v>227</v>
      </c>
      <c r="L102" s="3" t="s">
        <v>38</v>
      </c>
    </row>
    <row r="103" spans="1:12" x14ac:dyDescent="0.3">
      <c r="A103" s="3" t="s">
        <v>226</v>
      </c>
      <c r="B103" s="3" t="s">
        <v>151</v>
      </c>
      <c r="C103" s="13" t="str">
        <f t="shared" si="1"/>
        <v>June</v>
      </c>
      <c r="D103" s="3" t="s">
        <v>24</v>
      </c>
      <c r="E103" s="14" t="s">
        <v>839</v>
      </c>
      <c r="F103" s="3" t="s">
        <v>41</v>
      </c>
      <c r="G103" s="3" t="s">
        <v>42</v>
      </c>
      <c r="H103" s="3" t="s">
        <v>43</v>
      </c>
      <c r="I103" s="3">
        <v>1</v>
      </c>
      <c r="J103" s="3">
        <v>202</v>
      </c>
      <c r="K103" s="3">
        <v>202</v>
      </c>
      <c r="L103" s="3" t="s">
        <v>15</v>
      </c>
    </row>
    <row r="104" spans="1:12" x14ac:dyDescent="0.3">
      <c r="A104" s="3" t="s">
        <v>227</v>
      </c>
      <c r="B104" s="3" t="s">
        <v>122</v>
      </c>
      <c r="C104" s="13" t="str">
        <f t="shared" si="1"/>
        <v>August</v>
      </c>
      <c r="D104" s="3" t="s">
        <v>11</v>
      </c>
      <c r="E104" s="14" t="s">
        <v>839</v>
      </c>
      <c r="F104" s="3" t="s">
        <v>37</v>
      </c>
      <c r="G104" s="3" t="s">
        <v>57</v>
      </c>
      <c r="H104" s="3" t="s">
        <v>14</v>
      </c>
      <c r="I104" s="3">
        <v>1</v>
      </c>
      <c r="J104" s="3">
        <v>218</v>
      </c>
      <c r="K104" s="3">
        <v>218</v>
      </c>
      <c r="L104" s="3" t="s">
        <v>32</v>
      </c>
    </row>
    <row r="105" spans="1:12" x14ac:dyDescent="0.3">
      <c r="A105" s="3" t="s">
        <v>228</v>
      </c>
      <c r="B105" s="3" t="s">
        <v>229</v>
      </c>
      <c r="C105" s="13" t="str">
        <f t="shared" si="1"/>
        <v>July</v>
      </c>
      <c r="D105" s="3" t="s">
        <v>18</v>
      </c>
      <c r="E105" s="14" t="s">
        <v>839</v>
      </c>
      <c r="F105" s="3" t="s">
        <v>30</v>
      </c>
      <c r="G105" s="3" t="s">
        <v>26</v>
      </c>
      <c r="H105" s="3" t="s">
        <v>27</v>
      </c>
      <c r="I105" s="3">
        <v>5</v>
      </c>
      <c r="J105" s="3">
        <v>160</v>
      </c>
      <c r="K105" s="3">
        <v>800</v>
      </c>
      <c r="L105" s="3" t="s">
        <v>32</v>
      </c>
    </row>
    <row r="106" spans="1:12" x14ac:dyDescent="0.3">
      <c r="A106" s="3" t="s">
        <v>230</v>
      </c>
      <c r="B106" s="3" t="s">
        <v>231</v>
      </c>
      <c r="C106" s="13" t="str">
        <f t="shared" si="1"/>
        <v>October</v>
      </c>
      <c r="D106" s="3" t="s">
        <v>18</v>
      </c>
      <c r="E106" s="14" t="s">
        <v>839</v>
      </c>
      <c r="F106" s="3" t="s">
        <v>25</v>
      </c>
      <c r="G106" s="3" t="s">
        <v>74</v>
      </c>
      <c r="H106" s="3" t="s">
        <v>27</v>
      </c>
      <c r="I106" s="3">
        <v>1</v>
      </c>
      <c r="J106" s="3">
        <v>243</v>
      </c>
      <c r="K106" s="3">
        <v>243</v>
      </c>
      <c r="L106" s="3" t="s">
        <v>21</v>
      </c>
    </row>
    <row r="107" spans="1:12" x14ac:dyDescent="0.3">
      <c r="A107" s="3" t="s">
        <v>232</v>
      </c>
      <c r="B107" s="3" t="s">
        <v>233</v>
      </c>
      <c r="C107" s="13" t="str">
        <f t="shared" si="1"/>
        <v>May</v>
      </c>
      <c r="D107" s="3" t="s">
        <v>51</v>
      </c>
      <c r="E107" s="14" t="s">
        <v>839</v>
      </c>
      <c r="F107" s="3" t="s">
        <v>41</v>
      </c>
      <c r="G107" s="3" t="s">
        <v>19</v>
      </c>
      <c r="H107" s="3" t="s">
        <v>20</v>
      </c>
      <c r="I107" s="3">
        <v>5</v>
      </c>
      <c r="J107" s="3">
        <v>141</v>
      </c>
      <c r="K107" s="3">
        <v>705</v>
      </c>
      <c r="L107" s="3" t="s">
        <v>38</v>
      </c>
    </row>
    <row r="108" spans="1:12" x14ac:dyDescent="0.3">
      <c r="A108" s="3" t="s">
        <v>234</v>
      </c>
      <c r="B108" s="3" t="s">
        <v>235</v>
      </c>
      <c r="C108" s="13" t="str">
        <f t="shared" si="1"/>
        <v>May</v>
      </c>
      <c r="D108" s="3" t="s">
        <v>51</v>
      </c>
      <c r="E108" s="14" t="s">
        <v>839</v>
      </c>
      <c r="F108" s="3" t="s">
        <v>37</v>
      </c>
      <c r="G108" s="3" t="s">
        <v>19</v>
      </c>
      <c r="H108" s="3" t="s">
        <v>20</v>
      </c>
      <c r="I108" s="3">
        <v>1</v>
      </c>
      <c r="J108" s="3">
        <v>151</v>
      </c>
      <c r="K108" s="3">
        <v>151</v>
      </c>
      <c r="L108" s="3" t="s">
        <v>21</v>
      </c>
    </row>
    <row r="109" spans="1:12" x14ac:dyDescent="0.3">
      <c r="A109" s="3" t="s">
        <v>236</v>
      </c>
      <c r="B109" s="3" t="s">
        <v>237</v>
      </c>
      <c r="C109" s="13" t="str">
        <f t="shared" si="1"/>
        <v>August</v>
      </c>
      <c r="D109" s="3" t="s">
        <v>18</v>
      </c>
      <c r="E109" s="14" t="s">
        <v>839</v>
      </c>
      <c r="F109" s="3" t="s">
        <v>37</v>
      </c>
      <c r="G109" s="3" t="s">
        <v>19</v>
      </c>
      <c r="H109" s="3" t="s">
        <v>20</v>
      </c>
      <c r="I109" s="3">
        <v>2</v>
      </c>
      <c r="J109" s="3">
        <v>129</v>
      </c>
      <c r="K109" s="3">
        <v>258</v>
      </c>
      <c r="L109" s="3" t="s">
        <v>15</v>
      </c>
    </row>
    <row r="110" spans="1:12" x14ac:dyDescent="0.3">
      <c r="A110" s="3" t="s">
        <v>238</v>
      </c>
      <c r="B110" s="3" t="s">
        <v>239</v>
      </c>
      <c r="C110" s="13" t="str">
        <f t="shared" si="1"/>
        <v>April</v>
      </c>
      <c r="D110" s="3" t="s">
        <v>24</v>
      </c>
      <c r="E110" s="14" t="s">
        <v>839</v>
      </c>
      <c r="F110" s="3" t="s">
        <v>12</v>
      </c>
      <c r="G110" s="3" t="s">
        <v>66</v>
      </c>
      <c r="H110" s="3" t="s">
        <v>43</v>
      </c>
      <c r="I110" s="3">
        <v>2</v>
      </c>
      <c r="J110" s="3">
        <v>135</v>
      </c>
      <c r="K110" s="3">
        <v>270</v>
      </c>
      <c r="L110" s="3" t="s">
        <v>21</v>
      </c>
    </row>
    <row r="111" spans="1:12" x14ac:dyDescent="0.3">
      <c r="A111" s="3" t="s">
        <v>240</v>
      </c>
      <c r="B111" s="3" t="s">
        <v>241</v>
      </c>
      <c r="C111" s="13" t="str">
        <f t="shared" si="1"/>
        <v>November</v>
      </c>
      <c r="D111" s="3" t="s">
        <v>18</v>
      </c>
      <c r="E111" s="14" t="s">
        <v>839</v>
      </c>
      <c r="F111" s="3" t="s">
        <v>30</v>
      </c>
      <c r="G111" s="3" t="s">
        <v>31</v>
      </c>
      <c r="H111" s="3" t="s">
        <v>14</v>
      </c>
      <c r="I111" s="3">
        <v>5</v>
      </c>
      <c r="J111" s="3">
        <v>206</v>
      </c>
      <c r="K111" s="3">
        <v>1030</v>
      </c>
      <c r="L111" s="3" t="s">
        <v>32</v>
      </c>
    </row>
    <row r="112" spans="1:12" x14ac:dyDescent="0.3">
      <c r="A112" s="3" t="s">
        <v>242</v>
      </c>
      <c r="B112" s="3" t="s">
        <v>91</v>
      </c>
      <c r="C112" s="13" t="str">
        <f t="shared" si="1"/>
        <v>October</v>
      </c>
      <c r="D112" s="3" t="s">
        <v>51</v>
      </c>
      <c r="E112" s="14" t="s">
        <v>839</v>
      </c>
      <c r="F112" s="3" t="s">
        <v>41</v>
      </c>
      <c r="G112" s="3" t="s">
        <v>13</v>
      </c>
      <c r="H112" s="3" t="s">
        <v>14</v>
      </c>
      <c r="I112" s="3">
        <v>3</v>
      </c>
      <c r="J112" s="3">
        <v>166</v>
      </c>
      <c r="K112" s="3">
        <v>498</v>
      </c>
      <c r="L112" s="3" t="s">
        <v>21</v>
      </c>
    </row>
    <row r="113" spans="1:12" x14ac:dyDescent="0.3">
      <c r="A113" s="3" t="s">
        <v>243</v>
      </c>
      <c r="B113" s="3" t="s">
        <v>244</v>
      </c>
      <c r="C113" s="13" t="str">
        <f t="shared" si="1"/>
        <v>June</v>
      </c>
      <c r="D113" s="3" t="s">
        <v>11</v>
      </c>
      <c r="E113" s="14" t="s">
        <v>839</v>
      </c>
      <c r="F113" s="3" t="s">
        <v>41</v>
      </c>
      <c r="G113" s="3" t="s">
        <v>74</v>
      </c>
      <c r="H113" s="3" t="s">
        <v>27</v>
      </c>
      <c r="I113" s="3">
        <v>1</v>
      </c>
      <c r="J113" s="3">
        <v>269</v>
      </c>
      <c r="K113" s="3">
        <v>269</v>
      </c>
      <c r="L113" s="3" t="s">
        <v>15</v>
      </c>
    </row>
    <row r="114" spans="1:12" x14ac:dyDescent="0.3">
      <c r="A114" s="3" t="s">
        <v>245</v>
      </c>
      <c r="B114" s="3" t="s">
        <v>246</v>
      </c>
      <c r="C114" s="13" t="str">
        <f t="shared" si="1"/>
        <v>August</v>
      </c>
      <c r="D114" s="3" t="s">
        <v>46</v>
      </c>
      <c r="E114" s="14" t="s">
        <v>839</v>
      </c>
      <c r="F114" s="3" t="s">
        <v>25</v>
      </c>
      <c r="G114" s="3" t="s">
        <v>13</v>
      </c>
      <c r="H114" s="3" t="s">
        <v>14</v>
      </c>
      <c r="I114" s="3">
        <v>2</v>
      </c>
      <c r="J114" s="3">
        <v>163</v>
      </c>
      <c r="K114" s="3">
        <v>326</v>
      </c>
      <c r="L114" s="3" t="s">
        <v>32</v>
      </c>
    </row>
    <row r="115" spans="1:12" x14ac:dyDescent="0.3">
      <c r="A115" s="3" t="s">
        <v>247</v>
      </c>
      <c r="B115" s="3" t="s">
        <v>248</v>
      </c>
      <c r="C115" s="13" t="str">
        <f t="shared" si="1"/>
        <v>January</v>
      </c>
      <c r="D115" s="3" t="s">
        <v>18</v>
      </c>
      <c r="E115" s="14" t="s">
        <v>839</v>
      </c>
      <c r="F115" s="3" t="s">
        <v>41</v>
      </c>
      <c r="G115" s="3" t="s">
        <v>13</v>
      </c>
      <c r="H115" s="3" t="s">
        <v>14</v>
      </c>
      <c r="I115" s="3">
        <v>3</v>
      </c>
      <c r="J115" s="3">
        <v>178</v>
      </c>
      <c r="K115" s="3">
        <v>534</v>
      </c>
      <c r="L115" s="3" t="s">
        <v>38</v>
      </c>
    </row>
    <row r="116" spans="1:12" x14ac:dyDescent="0.3">
      <c r="A116" s="3" t="s">
        <v>249</v>
      </c>
      <c r="B116" s="3" t="s">
        <v>221</v>
      </c>
      <c r="C116" s="13" t="str">
        <f t="shared" si="1"/>
        <v>November</v>
      </c>
      <c r="D116" s="3" t="s">
        <v>18</v>
      </c>
      <c r="E116" s="14" t="s">
        <v>839</v>
      </c>
      <c r="F116" s="3" t="s">
        <v>12</v>
      </c>
      <c r="G116" s="3" t="s">
        <v>79</v>
      </c>
      <c r="H116" s="3" t="s">
        <v>20</v>
      </c>
      <c r="I116" s="3">
        <v>2</v>
      </c>
      <c r="J116" s="3">
        <v>160</v>
      </c>
      <c r="K116" s="3">
        <v>320</v>
      </c>
      <c r="L116" s="3" t="s">
        <v>38</v>
      </c>
    </row>
    <row r="117" spans="1:12" x14ac:dyDescent="0.3">
      <c r="A117" s="3" t="s">
        <v>250</v>
      </c>
      <c r="B117" s="3" t="s">
        <v>143</v>
      </c>
      <c r="C117" s="13" t="str">
        <f t="shared" si="1"/>
        <v>August</v>
      </c>
      <c r="D117" s="3" t="s">
        <v>46</v>
      </c>
      <c r="E117" s="14" t="s">
        <v>839</v>
      </c>
      <c r="F117" s="3" t="s">
        <v>30</v>
      </c>
      <c r="G117" s="3" t="s">
        <v>13</v>
      </c>
      <c r="H117" s="3" t="s">
        <v>14</v>
      </c>
      <c r="I117" s="3">
        <v>1</v>
      </c>
      <c r="J117" s="3">
        <v>193</v>
      </c>
      <c r="K117" s="3">
        <v>193</v>
      </c>
      <c r="L117" s="3" t="s">
        <v>38</v>
      </c>
    </row>
    <row r="118" spans="1:12" x14ac:dyDescent="0.3">
      <c r="A118" s="3" t="s">
        <v>251</v>
      </c>
      <c r="B118" s="3" t="s">
        <v>252</v>
      </c>
      <c r="C118" s="13" t="str">
        <f t="shared" si="1"/>
        <v>January</v>
      </c>
      <c r="D118" s="3" t="s">
        <v>18</v>
      </c>
      <c r="E118" s="14" t="s">
        <v>839</v>
      </c>
      <c r="F118" s="3" t="s">
        <v>37</v>
      </c>
      <c r="G118" s="3" t="s">
        <v>57</v>
      </c>
      <c r="H118" s="3" t="s">
        <v>14</v>
      </c>
      <c r="I118" s="3">
        <v>4</v>
      </c>
      <c r="J118" s="3">
        <v>208</v>
      </c>
      <c r="K118" s="3">
        <v>832</v>
      </c>
      <c r="L118" s="3" t="s">
        <v>15</v>
      </c>
    </row>
    <row r="119" spans="1:12" x14ac:dyDescent="0.3">
      <c r="A119" s="3" t="s">
        <v>253</v>
      </c>
      <c r="B119" s="3" t="s">
        <v>254</v>
      </c>
      <c r="C119" s="13" t="str">
        <f t="shared" si="1"/>
        <v>September</v>
      </c>
      <c r="D119" s="3" t="s">
        <v>51</v>
      </c>
      <c r="E119" s="14" t="s">
        <v>839</v>
      </c>
      <c r="F119" s="3" t="s">
        <v>37</v>
      </c>
      <c r="G119" s="3" t="s">
        <v>19</v>
      </c>
      <c r="H119" s="3" t="s">
        <v>20</v>
      </c>
      <c r="I119" s="3">
        <v>5</v>
      </c>
      <c r="J119" s="3">
        <v>154</v>
      </c>
      <c r="K119" s="3">
        <v>770</v>
      </c>
      <c r="L119" s="3" t="s">
        <v>21</v>
      </c>
    </row>
    <row r="120" spans="1:12" x14ac:dyDescent="0.3">
      <c r="A120" s="3" t="s">
        <v>255</v>
      </c>
      <c r="B120" s="3" t="s">
        <v>256</v>
      </c>
      <c r="C120" s="13" t="str">
        <f t="shared" si="1"/>
        <v>February</v>
      </c>
      <c r="D120" s="3" t="s">
        <v>46</v>
      </c>
      <c r="E120" s="14" t="s">
        <v>839</v>
      </c>
      <c r="F120" s="3" t="s">
        <v>30</v>
      </c>
      <c r="G120" s="3" t="s">
        <v>57</v>
      </c>
      <c r="H120" s="3" t="s">
        <v>14</v>
      </c>
      <c r="I120" s="3">
        <v>5</v>
      </c>
      <c r="J120" s="3">
        <v>200</v>
      </c>
      <c r="K120" s="3">
        <v>1000</v>
      </c>
      <c r="L120" s="3" t="s">
        <v>15</v>
      </c>
    </row>
    <row r="121" spans="1:12" x14ac:dyDescent="0.3">
      <c r="A121" s="3" t="s">
        <v>257</v>
      </c>
      <c r="B121" s="3" t="s">
        <v>258</v>
      </c>
      <c r="C121" s="13" t="str">
        <f t="shared" si="1"/>
        <v>March</v>
      </c>
      <c r="D121" s="3" t="s">
        <v>18</v>
      </c>
      <c r="E121" s="14" t="s">
        <v>839</v>
      </c>
      <c r="F121" s="3" t="s">
        <v>30</v>
      </c>
      <c r="G121" s="3" t="s">
        <v>13</v>
      </c>
      <c r="H121" s="3" t="s">
        <v>14</v>
      </c>
      <c r="I121" s="3">
        <v>2</v>
      </c>
      <c r="J121" s="3">
        <v>164</v>
      </c>
      <c r="K121" s="3">
        <v>328</v>
      </c>
      <c r="L121" s="3" t="s">
        <v>15</v>
      </c>
    </row>
    <row r="122" spans="1:12" x14ac:dyDescent="0.3">
      <c r="A122" s="3" t="s">
        <v>259</v>
      </c>
      <c r="B122" s="3" t="s">
        <v>260</v>
      </c>
      <c r="C122" s="13" t="str">
        <f t="shared" si="1"/>
        <v>May</v>
      </c>
      <c r="D122" s="3" t="s">
        <v>18</v>
      </c>
      <c r="E122" s="14" t="s">
        <v>839</v>
      </c>
      <c r="F122" s="3" t="s">
        <v>25</v>
      </c>
      <c r="G122" s="3" t="s">
        <v>79</v>
      </c>
      <c r="H122" s="3" t="s">
        <v>20</v>
      </c>
      <c r="I122" s="3">
        <v>1</v>
      </c>
      <c r="J122" s="3">
        <v>148</v>
      </c>
      <c r="K122" s="3">
        <v>148</v>
      </c>
      <c r="L122" s="3" t="s">
        <v>38</v>
      </c>
    </row>
    <row r="123" spans="1:12" x14ac:dyDescent="0.3">
      <c r="A123" s="3" t="s">
        <v>261</v>
      </c>
      <c r="B123" s="3" t="s">
        <v>262</v>
      </c>
      <c r="C123" s="13" t="str">
        <f t="shared" si="1"/>
        <v>January</v>
      </c>
      <c r="D123" s="3" t="s">
        <v>11</v>
      </c>
      <c r="E123" s="14" t="s">
        <v>839</v>
      </c>
      <c r="F123" s="3" t="s">
        <v>37</v>
      </c>
      <c r="G123" s="3" t="s">
        <v>26</v>
      </c>
      <c r="H123" s="3" t="s">
        <v>27</v>
      </c>
      <c r="I123" s="3">
        <v>4</v>
      </c>
      <c r="J123" s="3">
        <v>187</v>
      </c>
      <c r="K123" s="3">
        <v>748</v>
      </c>
      <c r="L123" s="3" t="s">
        <v>38</v>
      </c>
    </row>
    <row r="124" spans="1:12" x14ac:dyDescent="0.3">
      <c r="A124" s="3" t="s">
        <v>263</v>
      </c>
      <c r="B124" s="3" t="s">
        <v>260</v>
      </c>
      <c r="C124" s="13" t="str">
        <f t="shared" si="1"/>
        <v>May</v>
      </c>
      <c r="D124" s="3" t="s">
        <v>18</v>
      </c>
      <c r="E124" s="14" t="s">
        <v>839</v>
      </c>
      <c r="F124" s="3" t="s">
        <v>30</v>
      </c>
      <c r="G124" s="3" t="s">
        <v>57</v>
      </c>
      <c r="H124" s="3" t="s">
        <v>14</v>
      </c>
      <c r="I124" s="3">
        <v>5</v>
      </c>
      <c r="J124" s="3">
        <v>195</v>
      </c>
      <c r="K124" s="3">
        <v>975</v>
      </c>
      <c r="L124" s="3" t="s">
        <v>32</v>
      </c>
    </row>
    <row r="125" spans="1:12" x14ac:dyDescent="0.3">
      <c r="A125" s="3" t="s">
        <v>264</v>
      </c>
      <c r="B125" s="3" t="s">
        <v>265</v>
      </c>
      <c r="C125" s="13" t="str">
        <f t="shared" si="1"/>
        <v>January</v>
      </c>
      <c r="D125" s="3" t="s">
        <v>51</v>
      </c>
      <c r="E125" s="14" t="s">
        <v>839</v>
      </c>
      <c r="F125" s="3" t="s">
        <v>30</v>
      </c>
      <c r="G125" s="3" t="s">
        <v>69</v>
      </c>
      <c r="H125" s="3" t="s">
        <v>14</v>
      </c>
      <c r="I125" s="3">
        <v>3</v>
      </c>
      <c r="J125" s="3">
        <v>150</v>
      </c>
      <c r="K125" s="3">
        <v>450</v>
      </c>
      <c r="L125" s="3" t="s">
        <v>21</v>
      </c>
    </row>
    <row r="126" spans="1:12" x14ac:dyDescent="0.3">
      <c r="A126" s="3" t="s">
        <v>266</v>
      </c>
      <c r="B126" s="3" t="s">
        <v>267</v>
      </c>
      <c r="C126" s="13" t="str">
        <f t="shared" si="1"/>
        <v>November</v>
      </c>
      <c r="D126" s="3" t="s">
        <v>11</v>
      </c>
      <c r="E126" s="14" t="s">
        <v>839</v>
      </c>
      <c r="F126" s="3" t="s">
        <v>37</v>
      </c>
      <c r="G126" s="3" t="s">
        <v>13</v>
      </c>
      <c r="H126" s="3" t="s">
        <v>14</v>
      </c>
      <c r="I126" s="3">
        <v>3</v>
      </c>
      <c r="J126" s="3">
        <v>200</v>
      </c>
      <c r="K126" s="3">
        <v>600</v>
      </c>
      <c r="L126" s="3" t="s">
        <v>32</v>
      </c>
    </row>
    <row r="127" spans="1:12" x14ac:dyDescent="0.3">
      <c r="A127" s="3" t="s">
        <v>268</v>
      </c>
      <c r="B127" s="3" t="s">
        <v>97</v>
      </c>
      <c r="C127" s="13" t="str">
        <f t="shared" si="1"/>
        <v>January</v>
      </c>
      <c r="D127" s="3" t="s">
        <v>46</v>
      </c>
      <c r="E127" s="14" t="s">
        <v>839</v>
      </c>
      <c r="F127" s="3" t="s">
        <v>25</v>
      </c>
      <c r="G127" s="3" t="s">
        <v>42</v>
      </c>
      <c r="H127" s="3" t="s">
        <v>43</v>
      </c>
      <c r="I127" s="3">
        <v>5</v>
      </c>
      <c r="J127" s="3">
        <v>230</v>
      </c>
      <c r="K127" s="3">
        <v>1150</v>
      </c>
      <c r="L127" s="3" t="s">
        <v>32</v>
      </c>
    </row>
    <row r="128" spans="1:12" x14ac:dyDescent="0.3">
      <c r="A128" s="3" t="s">
        <v>269</v>
      </c>
      <c r="B128" s="3" t="s">
        <v>270</v>
      </c>
      <c r="C128" s="13" t="str">
        <f t="shared" si="1"/>
        <v>August</v>
      </c>
      <c r="D128" s="3" t="s">
        <v>840</v>
      </c>
      <c r="E128" s="14" t="s">
        <v>839</v>
      </c>
      <c r="F128" s="3" t="s">
        <v>37</v>
      </c>
      <c r="G128" s="3" t="s">
        <v>13</v>
      </c>
      <c r="H128" s="3" t="s">
        <v>14</v>
      </c>
      <c r="I128" s="3">
        <v>2</v>
      </c>
      <c r="J128" s="3">
        <v>184</v>
      </c>
      <c r="K128" s="3">
        <v>368</v>
      </c>
      <c r="L128" s="3" t="s">
        <v>21</v>
      </c>
    </row>
    <row r="129" spans="1:12" x14ac:dyDescent="0.3">
      <c r="A129" s="3" t="s">
        <v>271</v>
      </c>
      <c r="B129" s="3" t="s">
        <v>272</v>
      </c>
      <c r="C129" s="13" t="str">
        <f t="shared" si="1"/>
        <v>November</v>
      </c>
      <c r="D129" s="3" t="s">
        <v>24</v>
      </c>
      <c r="E129" s="14" t="s">
        <v>839</v>
      </c>
      <c r="F129" s="3" t="s">
        <v>37</v>
      </c>
      <c r="G129" s="3" t="s">
        <v>69</v>
      </c>
      <c r="H129" s="3" t="s">
        <v>14</v>
      </c>
      <c r="I129" s="3">
        <v>3</v>
      </c>
      <c r="J129" s="3">
        <v>153</v>
      </c>
      <c r="K129" s="3">
        <v>459</v>
      </c>
      <c r="L129" s="3" t="s">
        <v>15</v>
      </c>
    </row>
    <row r="130" spans="1:12" x14ac:dyDescent="0.3">
      <c r="A130" s="3" t="s">
        <v>273</v>
      </c>
      <c r="B130" s="3" t="s">
        <v>274</v>
      </c>
      <c r="C130" s="13" t="str">
        <f t="shared" si="1"/>
        <v>November</v>
      </c>
      <c r="D130" s="3" t="s">
        <v>840</v>
      </c>
      <c r="E130" s="14" t="s">
        <v>839</v>
      </c>
      <c r="F130" s="3" t="s">
        <v>12</v>
      </c>
      <c r="G130" s="3" t="s">
        <v>26</v>
      </c>
      <c r="H130" s="3" t="s">
        <v>27</v>
      </c>
      <c r="I130" s="3">
        <v>4</v>
      </c>
      <c r="J130" s="3">
        <v>165</v>
      </c>
      <c r="K130" s="3">
        <v>660</v>
      </c>
      <c r="L130" s="3" t="s">
        <v>32</v>
      </c>
    </row>
    <row r="131" spans="1:12" x14ac:dyDescent="0.3">
      <c r="A131" s="3" t="s">
        <v>275</v>
      </c>
      <c r="B131" s="3" t="s">
        <v>276</v>
      </c>
      <c r="C131" s="13" t="str">
        <f t="shared" ref="C131:C194" si="2">TEXT(B131,"mmmm")</f>
        <v>May</v>
      </c>
      <c r="D131" s="3" t="s">
        <v>24</v>
      </c>
      <c r="E131" s="14" t="s">
        <v>839</v>
      </c>
      <c r="F131" s="3" t="s">
        <v>12</v>
      </c>
      <c r="G131" s="3" t="s">
        <v>66</v>
      </c>
      <c r="H131" s="3" t="s">
        <v>43</v>
      </c>
      <c r="I131" s="3">
        <v>4</v>
      </c>
      <c r="J131" s="3">
        <v>126</v>
      </c>
      <c r="K131" s="3">
        <v>504</v>
      </c>
      <c r="L131" s="3" t="s">
        <v>38</v>
      </c>
    </row>
    <row r="132" spans="1:12" x14ac:dyDescent="0.3">
      <c r="A132" s="3" t="s">
        <v>277</v>
      </c>
      <c r="B132" s="3" t="s">
        <v>56</v>
      </c>
      <c r="C132" s="13" t="str">
        <f t="shared" si="2"/>
        <v>April</v>
      </c>
      <c r="D132" s="3" t="s">
        <v>840</v>
      </c>
      <c r="E132" s="14" t="s">
        <v>839</v>
      </c>
      <c r="F132" s="3" t="s">
        <v>30</v>
      </c>
      <c r="G132" s="3" t="s">
        <v>79</v>
      </c>
      <c r="H132" s="3" t="s">
        <v>20</v>
      </c>
      <c r="I132" s="3">
        <v>1</v>
      </c>
      <c r="J132" s="3">
        <v>155</v>
      </c>
      <c r="K132" s="3">
        <v>155</v>
      </c>
      <c r="L132" s="3" t="s">
        <v>21</v>
      </c>
    </row>
    <row r="133" spans="1:12" x14ac:dyDescent="0.3">
      <c r="A133" s="3" t="s">
        <v>278</v>
      </c>
      <c r="B133" s="3" t="s">
        <v>153</v>
      </c>
      <c r="C133" s="13" t="str">
        <f t="shared" si="2"/>
        <v>September</v>
      </c>
      <c r="D133" s="3" t="s">
        <v>46</v>
      </c>
      <c r="E133" s="14" t="s">
        <v>839</v>
      </c>
      <c r="F133" s="3" t="s">
        <v>30</v>
      </c>
      <c r="G133" s="3" t="s">
        <v>31</v>
      </c>
      <c r="H133" s="3" t="s">
        <v>14</v>
      </c>
      <c r="I133" s="3">
        <v>1</v>
      </c>
      <c r="J133" s="3">
        <v>206</v>
      </c>
      <c r="K133" s="3">
        <v>206</v>
      </c>
      <c r="L133" s="3" t="s">
        <v>32</v>
      </c>
    </row>
    <row r="134" spans="1:12" x14ac:dyDescent="0.3">
      <c r="A134" s="3" t="s">
        <v>279</v>
      </c>
      <c r="B134" s="3" t="s">
        <v>280</v>
      </c>
      <c r="C134" s="13" t="str">
        <f t="shared" si="2"/>
        <v>August</v>
      </c>
      <c r="D134" s="3" t="s">
        <v>11</v>
      </c>
      <c r="E134" s="14" t="s">
        <v>839</v>
      </c>
      <c r="F134" s="3" t="s">
        <v>25</v>
      </c>
      <c r="G134" s="3" t="s">
        <v>42</v>
      </c>
      <c r="H134" s="3" t="s">
        <v>43</v>
      </c>
      <c r="I134" s="3">
        <v>1</v>
      </c>
      <c r="J134" s="3">
        <v>238</v>
      </c>
      <c r="K134" s="3">
        <v>238</v>
      </c>
      <c r="L134" s="3" t="s">
        <v>21</v>
      </c>
    </row>
    <row r="135" spans="1:12" x14ac:dyDescent="0.3">
      <c r="A135" s="3" t="s">
        <v>281</v>
      </c>
      <c r="B135" s="3" t="s">
        <v>282</v>
      </c>
      <c r="C135" s="13" t="str">
        <f t="shared" si="2"/>
        <v>July</v>
      </c>
      <c r="D135" s="3" t="s">
        <v>24</v>
      </c>
      <c r="E135" s="14" t="s">
        <v>839</v>
      </c>
      <c r="F135" s="3" t="s">
        <v>30</v>
      </c>
      <c r="G135" s="3" t="s">
        <v>69</v>
      </c>
      <c r="H135" s="3" t="s">
        <v>14</v>
      </c>
      <c r="I135" s="3">
        <v>1</v>
      </c>
      <c r="J135" s="3">
        <v>155</v>
      </c>
      <c r="K135" s="3">
        <v>155</v>
      </c>
      <c r="L135" s="3" t="s">
        <v>21</v>
      </c>
    </row>
    <row r="136" spans="1:12" x14ac:dyDescent="0.3">
      <c r="A136" s="3" t="s">
        <v>283</v>
      </c>
      <c r="B136" s="3" t="s">
        <v>284</v>
      </c>
      <c r="C136" s="13" t="str">
        <f t="shared" si="2"/>
        <v>May</v>
      </c>
      <c r="D136" s="3" t="s">
        <v>24</v>
      </c>
      <c r="E136" s="14" t="s">
        <v>839</v>
      </c>
      <c r="F136" s="3" t="s">
        <v>30</v>
      </c>
      <c r="G136" s="3" t="s">
        <v>74</v>
      </c>
      <c r="H136" s="3" t="s">
        <v>27</v>
      </c>
      <c r="I136" s="3">
        <v>4</v>
      </c>
      <c r="J136" s="3">
        <v>257</v>
      </c>
      <c r="K136" s="3">
        <v>1028</v>
      </c>
      <c r="L136" s="3" t="s">
        <v>38</v>
      </c>
    </row>
    <row r="137" spans="1:12" x14ac:dyDescent="0.3">
      <c r="A137" s="3" t="s">
        <v>285</v>
      </c>
      <c r="B137" s="3" t="s">
        <v>131</v>
      </c>
      <c r="C137" s="13" t="str">
        <f t="shared" si="2"/>
        <v>June</v>
      </c>
      <c r="D137" s="3" t="s">
        <v>54</v>
      </c>
      <c r="E137" s="14" t="s">
        <v>839</v>
      </c>
      <c r="F137" s="3" t="s">
        <v>37</v>
      </c>
      <c r="G137" s="3" t="s">
        <v>79</v>
      </c>
      <c r="H137" s="3" t="s">
        <v>20</v>
      </c>
      <c r="I137" s="3">
        <v>5</v>
      </c>
      <c r="J137" s="3">
        <v>156</v>
      </c>
      <c r="K137" s="3">
        <v>780</v>
      </c>
      <c r="L137" s="3" t="s">
        <v>38</v>
      </c>
    </row>
    <row r="138" spans="1:12" x14ac:dyDescent="0.3">
      <c r="A138" s="3" t="s">
        <v>286</v>
      </c>
      <c r="B138" s="3" t="s">
        <v>287</v>
      </c>
      <c r="C138" s="13" t="str">
        <f t="shared" si="2"/>
        <v>August</v>
      </c>
      <c r="D138" s="3" t="s">
        <v>24</v>
      </c>
      <c r="E138" s="14" t="s">
        <v>839</v>
      </c>
      <c r="F138" s="3" t="s">
        <v>12</v>
      </c>
      <c r="G138" s="3" t="s">
        <v>66</v>
      </c>
      <c r="H138" s="3" t="s">
        <v>43</v>
      </c>
      <c r="I138" s="3">
        <v>4</v>
      </c>
      <c r="J138" s="3">
        <v>134</v>
      </c>
      <c r="K138" s="3">
        <v>536</v>
      </c>
      <c r="L138" s="3" t="s">
        <v>15</v>
      </c>
    </row>
    <row r="139" spans="1:12" x14ac:dyDescent="0.3">
      <c r="A139" s="3" t="s">
        <v>288</v>
      </c>
      <c r="B139" s="3" t="s">
        <v>289</v>
      </c>
      <c r="C139" s="13" t="str">
        <f t="shared" si="2"/>
        <v>October</v>
      </c>
      <c r="D139" s="3" t="s">
        <v>54</v>
      </c>
      <c r="E139" s="14" t="s">
        <v>839</v>
      </c>
      <c r="F139" s="3" t="s">
        <v>41</v>
      </c>
      <c r="G139" s="3" t="s">
        <v>31</v>
      </c>
      <c r="H139" s="3" t="s">
        <v>14</v>
      </c>
      <c r="I139" s="3">
        <v>4</v>
      </c>
      <c r="J139" s="3">
        <v>198</v>
      </c>
      <c r="K139" s="3">
        <v>792</v>
      </c>
      <c r="L139" s="3" t="s">
        <v>38</v>
      </c>
    </row>
    <row r="140" spans="1:12" x14ac:dyDescent="0.3">
      <c r="A140" s="3" t="s">
        <v>290</v>
      </c>
      <c r="B140" s="3" t="s">
        <v>291</v>
      </c>
      <c r="C140" s="13" t="str">
        <f t="shared" si="2"/>
        <v>December</v>
      </c>
      <c r="D140" s="3" t="s">
        <v>46</v>
      </c>
      <c r="E140" s="14" t="s">
        <v>839</v>
      </c>
      <c r="F140" s="3" t="s">
        <v>41</v>
      </c>
      <c r="G140" s="3" t="s">
        <v>74</v>
      </c>
      <c r="H140" s="3" t="s">
        <v>27</v>
      </c>
      <c r="I140" s="3">
        <v>3</v>
      </c>
      <c r="J140" s="3">
        <v>254</v>
      </c>
      <c r="K140" s="3">
        <v>762</v>
      </c>
      <c r="L140" s="3" t="s">
        <v>15</v>
      </c>
    </row>
    <row r="141" spans="1:12" x14ac:dyDescent="0.3">
      <c r="A141" s="3" t="s">
        <v>292</v>
      </c>
      <c r="B141" s="3" t="s">
        <v>293</v>
      </c>
      <c r="C141" s="13" t="str">
        <f t="shared" si="2"/>
        <v>January</v>
      </c>
      <c r="D141" s="3" t="s">
        <v>24</v>
      </c>
      <c r="E141" s="14" t="s">
        <v>839</v>
      </c>
      <c r="F141" s="3" t="s">
        <v>25</v>
      </c>
      <c r="G141" s="3" t="s">
        <v>19</v>
      </c>
      <c r="H141" s="3" t="s">
        <v>20</v>
      </c>
      <c r="I141" s="3">
        <v>5</v>
      </c>
      <c r="J141" s="3">
        <v>144</v>
      </c>
      <c r="K141" s="3">
        <v>720</v>
      </c>
      <c r="L141" s="3" t="s">
        <v>21</v>
      </c>
    </row>
    <row r="142" spans="1:12" x14ac:dyDescent="0.3">
      <c r="A142" s="3" t="s">
        <v>294</v>
      </c>
      <c r="B142" s="3" t="s">
        <v>295</v>
      </c>
      <c r="C142" s="13" t="str">
        <f t="shared" si="2"/>
        <v>March</v>
      </c>
      <c r="D142" s="3" t="s">
        <v>24</v>
      </c>
      <c r="E142" s="14" t="s">
        <v>839</v>
      </c>
      <c r="F142" s="3" t="s">
        <v>30</v>
      </c>
      <c r="G142" s="3" t="s">
        <v>26</v>
      </c>
      <c r="H142" s="3" t="s">
        <v>27</v>
      </c>
      <c r="I142" s="3">
        <v>2</v>
      </c>
      <c r="J142" s="3">
        <v>172</v>
      </c>
      <c r="K142" s="3">
        <v>344</v>
      </c>
      <c r="L142" s="3" t="s">
        <v>21</v>
      </c>
    </row>
    <row r="143" spans="1:12" x14ac:dyDescent="0.3">
      <c r="A143" s="3" t="s">
        <v>296</v>
      </c>
      <c r="B143" s="3" t="s">
        <v>297</v>
      </c>
      <c r="C143" s="13" t="str">
        <f t="shared" si="2"/>
        <v>July</v>
      </c>
      <c r="D143" s="3" t="s">
        <v>840</v>
      </c>
      <c r="E143" s="14" t="s">
        <v>839</v>
      </c>
      <c r="F143" s="3" t="s">
        <v>12</v>
      </c>
      <c r="G143" s="3" t="s">
        <v>31</v>
      </c>
      <c r="H143" s="3" t="s">
        <v>14</v>
      </c>
      <c r="I143" s="3">
        <v>2</v>
      </c>
      <c r="J143" s="3">
        <v>191</v>
      </c>
      <c r="K143" s="3">
        <v>382</v>
      </c>
      <c r="L143" s="3" t="s">
        <v>32</v>
      </c>
    </row>
    <row r="144" spans="1:12" x14ac:dyDescent="0.3">
      <c r="A144" s="3" t="s">
        <v>298</v>
      </c>
      <c r="B144" s="3" t="s">
        <v>299</v>
      </c>
      <c r="C144" s="13" t="str">
        <f t="shared" si="2"/>
        <v>July</v>
      </c>
      <c r="D144" s="3" t="s">
        <v>54</v>
      </c>
      <c r="E144" s="14" t="s">
        <v>839</v>
      </c>
      <c r="F144" s="3" t="s">
        <v>41</v>
      </c>
      <c r="G144" s="3" t="s">
        <v>79</v>
      </c>
      <c r="H144" s="3" t="s">
        <v>20</v>
      </c>
      <c r="I144" s="3">
        <v>1</v>
      </c>
      <c r="J144" s="3">
        <v>155</v>
      </c>
      <c r="K144" s="3">
        <v>155</v>
      </c>
      <c r="L144" s="3" t="s">
        <v>38</v>
      </c>
    </row>
    <row r="145" spans="1:12" x14ac:dyDescent="0.3">
      <c r="A145" s="3" t="s">
        <v>300</v>
      </c>
      <c r="B145" s="3" t="s">
        <v>301</v>
      </c>
      <c r="C145" s="13" t="str">
        <f t="shared" si="2"/>
        <v>November</v>
      </c>
      <c r="D145" s="3" t="s">
        <v>46</v>
      </c>
      <c r="E145" s="14" t="s">
        <v>839</v>
      </c>
      <c r="F145" s="3" t="s">
        <v>37</v>
      </c>
      <c r="G145" s="3" t="s">
        <v>13</v>
      </c>
      <c r="H145" s="3" t="s">
        <v>14</v>
      </c>
      <c r="I145" s="3">
        <v>5</v>
      </c>
      <c r="J145" s="3">
        <v>174</v>
      </c>
      <c r="K145" s="3">
        <v>870</v>
      </c>
      <c r="L145" s="3" t="s">
        <v>32</v>
      </c>
    </row>
    <row r="146" spans="1:12" x14ac:dyDescent="0.3">
      <c r="A146" s="3" t="s">
        <v>302</v>
      </c>
      <c r="B146" s="3" t="s">
        <v>303</v>
      </c>
      <c r="C146" s="13" t="str">
        <f t="shared" si="2"/>
        <v>September</v>
      </c>
      <c r="D146" s="3" t="s">
        <v>46</v>
      </c>
      <c r="E146" s="14" t="s">
        <v>839</v>
      </c>
      <c r="F146" s="3" t="s">
        <v>30</v>
      </c>
      <c r="G146" s="3" t="s">
        <v>69</v>
      </c>
      <c r="H146" s="3" t="s">
        <v>14</v>
      </c>
      <c r="I146" s="3">
        <v>3</v>
      </c>
      <c r="J146" s="3">
        <v>163</v>
      </c>
      <c r="K146" s="3">
        <v>489</v>
      </c>
      <c r="L146" s="3" t="s">
        <v>32</v>
      </c>
    </row>
    <row r="147" spans="1:12" x14ac:dyDescent="0.3">
      <c r="A147" s="3" t="s">
        <v>304</v>
      </c>
      <c r="B147" s="3" t="s">
        <v>305</v>
      </c>
      <c r="C147" s="13" t="str">
        <f t="shared" si="2"/>
        <v>October</v>
      </c>
      <c r="D147" s="3" t="s">
        <v>51</v>
      </c>
      <c r="E147" s="14" t="s">
        <v>839</v>
      </c>
      <c r="F147" s="3" t="s">
        <v>25</v>
      </c>
      <c r="G147" s="3" t="s">
        <v>57</v>
      </c>
      <c r="H147" s="3" t="s">
        <v>14</v>
      </c>
      <c r="I147" s="3">
        <v>2</v>
      </c>
      <c r="J147" s="3">
        <v>191</v>
      </c>
      <c r="K147" s="3">
        <v>382</v>
      </c>
      <c r="L147" s="3" t="s">
        <v>38</v>
      </c>
    </row>
    <row r="148" spans="1:12" x14ac:dyDescent="0.3">
      <c r="A148" s="3" t="s">
        <v>306</v>
      </c>
      <c r="B148" s="3" t="s">
        <v>99</v>
      </c>
      <c r="C148" s="13" t="str">
        <f t="shared" si="2"/>
        <v>August</v>
      </c>
      <c r="D148" s="3" t="s">
        <v>46</v>
      </c>
      <c r="E148" s="14" t="s">
        <v>839</v>
      </c>
      <c r="F148" s="3" t="s">
        <v>30</v>
      </c>
      <c r="G148" s="3" t="s">
        <v>42</v>
      </c>
      <c r="H148" s="3" t="s">
        <v>43</v>
      </c>
      <c r="I148" s="3">
        <v>5</v>
      </c>
      <c r="J148" s="3">
        <v>220</v>
      </c>
      <c r="K148" s="3">
        <v>1100</v>
      </c>
      <c r="L148" s="3" t="s">
        <v>15</v>
      </c>
    </row>
    <row r="149" spans="1:12" x14ac:dyDescent="0.3">
      <c r="A149" s="3" t="s">
        <v>307</v>
      </c>
      <c r="B149" s="3" t="s">
        <v>308</v>
      </c>
      <c r="C149" s="13" t="str">
        <f t="shared" si="2"/>
        <v>May</v>
      </c>
      <c r="D149" s="3" t="s">
        <v>11</v>
      </c>
      <c r="E149" s="14" t="s">
        <v>839</v>
      </c>
      <c r="F149" s="3" t="s">
        <v>41</v>
      </c>
      <c r="G149" s="3" t="s">
        <v>13</v>
      </c>
      <c r="H149" s="3" t="s">
        <v>14</v>
      </c>
      <c r="I149" s="3">
        <v>5</v>
      </c>
      <c r="J149" s="3">
        <v>161</v>
      </c>
      <c r="K149" s="3">
        <v>805</v>
      </c>
      <c r="L149" s="3" t="s">
        <v>15</v>
      </c>
    </row>
    <row r="150" spans="1:12" x14ac:dyDescent="0.3">
      <c r="A150" s="3" t="s">
        <v>309</v>
      </c>
      <c r="B150" s="3" t="s">
        <v>310</v>
      </c>
      <c r="C150" s="13" t="str">
        <f t="shared" si="2"/>
        <v>September</v>
      </c>
      <c r="D150" s="3" t="s">
        <v>18</v>
      </c>
      <c r="E150" s="14" t="s">
        <v>839</v>
      </c>
      <c r="F150" s="3" t="s">
        <v>25</v>
      </c>
      <c r="G150" s="3" t="s">
        <v>74</v>
      </c>
      <c r="H150" s="3" t="s">
        <v>27</v>
      </c>
      <c r="I150" s="3">
        <v>4</v>
      </c>
      <c r="J150" s="3">
        <v>245</v>
      </c>
      <c r="K150" s="3">
        <v>980</v>
      </c>
      <c r="L150" s="3" t="s">
        <v>15</v>
      </c>
    </row>
    <row r="151" spans="1:12" x14ac:dyDescent="0.3">
      <c r="A151" s="3" t="s">
        <v>311</v>
      </c>
      <c r="B151" s="3" t="s">
        <v>312</v>
      </c>
      <c r="C151" s="13" t="str">
        <f t="shared" si="2"/>
        <v>November</v>
      </c>
      <c r="D151" s="3" t="s">
        <v>54</v>
      </c>
      <c r="E151" s="14" t="s">
        <v>839</v>
      </c>
      <c r="F151" s="3" t="s">
        <v>12</v>
      </c>
      <c r="G151" s="3" t="s">
        <v>26</v>
      </c>
      <c r="H151" s="3" t="s">
        <v>27</v>
      </c>
      <c r="I151" s="3">
        <v>3</v>
      </c>
      <c r="J151" s="3">
        <v>160</v>
      </c>
      <c r="K151" s="3">
        <v>480</v>
      </c>
      <c r="L151" s="3" t="s">
        <v>38</v>
      </c>
    </row>
    <row r="152" spans="1:12" x14ac:dyDescent="0.3">
      <c r="A152" s="3" t="s">
        <v>313</v>
      </c>
      <c r="B152" s="3" t="s">
        <v>78</v>
      </c>
      <c r="C152" s="13" t="str">
        <f t="shared" si="2"/>
        <v>June</v>
      </c>
      <c r="D152" s="3" t="s">
        <v>54</v>
      </c>
      <c r="E152" s="14" t="s">
        <v>839</v>
      </c>
      <c r="F152" s="3" t="s">
        <v>12</v>
      </c>
      <c r="G152" s="3" t="s">
        <v>19</v>
      </c>
      <c r="H152" s="3" t="s">
        <v>20</v>
      </c>
      <c r="I152" s="3">
        <v>2</v>
      </c>
      <c r="J152" s="3">
        <v>132</v>
      </c>
      <c r="K152" s="3">
        <v>264</v>
      </c>
      <c r="L152" s="3" t="s">
        <v>15</v>
      </c>
    </row>
    <row r="153" spans="1:12" x14ac:dyDescent="0.3">
      <c r="A153" s="3" t="s">
        <v>314</v>
      </c>
      <c r="B153" s="3" t="s">
        <v>315</v>
      </c>
      <c r="C153" s="13" t="str">
        <f t="shared" si="2"/>
        <v>October</v>
      </c>
      <c r="D153" s="3" t="s">
        <v>840</v>
      </c>
      <c r="E153" s="14" t="s">
        <v>839</v>
      </c>
      <c r="F153" s="3" t="s">
        <v>30</v>
      </c>
      <c r="G153" s="3" t="s">
        <v>42</v>
      </c>
      <c r="H153" s="3" t="s">
        <v>43</v>
      </c>
      <c r="I153" s="3">
        <v>2</v>
      </c>
      <c r="J153" s="3">
        <v>202</v>
      </c>
      <c r="K153" s="3">
        <v>404</v>
      </c>
      <c r="L153" s="3" t="s">
        <v>15</v>
      </c>
    </row>
    <row r="154" spans="1:12" x14ac:dyDescent="0.3">
      <c r="A154" s="3" t="s">
        <v>316</v>
      </c>
      <c r="B154" s="3" t="s">
        <v>317</v>
      </c>
      <c r="C154" s="13" t="str">
        <f t="shared" si="2"/>
        <v>October</v>
      </c>
      <c r="D154" s="3" t="s">
        <v>11</v>
      </c>
      <c r="E154" s="14" t="s">
        <v>839</v>
      </c>
      <c r="F154" s="3" t="s">
        <v>12</v>
      </c>
      <c r="G154" s="3" t="s">
        <v>31</v>
      </c>
      <c r="H154" s="3" t="s">
        <v>14</v>
      </c>
      <c r="I154" s="3">
        <v>3</v>
      </c>
      <c r="J154" s="3">
        <v>212</v>
      </c>
      <c r="K154" s="3">
        <v>636</v>
      </c>
      <c r="L154" s="3" t="s">
        <v>32</v>
      </c>
    </row>
    <row r="155" spans="1:12" x14ac:dyDescent="0.3">
      <c r="A155" s="3" t="s">
        <v>318</v>
      </c>
      <c r="B155" s="3" t="s">
        <v>213</v>
      </c>
      <c r="C155" s="13" t="str">
        <f t="shared" si="2"/>
        <v>January</v>
      </c>
      <c r="D155" s="3" t="s">
        <v>54</v>
      </c>
      <c r="E155" s="14" t="s">
        <v>839</v>
      </c>
      <c r="F155" s="3" t="s">
        <v>12</v>
      </c>
      <c r="G155" s="3" t="s">
        <v>57</v>
      </c>
      <c r="H155" s="3" t="s">
        <v>14</v>
      </c>
      <c r="I155" s="3">
        <v>4</v>
      </c>
      <c r="J155" s="3">
        <v>220</v>
      </c>
      <c r="K155" s="3">
        <v>880</v>
      </c>
      <c r="L155" s="3" t="s">
        <v>21</v>
      </c>
    </row>
    <row r="156" spans="1:12" x14ac:dyDescent="0.3">
      <c r="A156" s="3" t="s">
        <v>319</v>
      </c>
      <c r="B156" s="3" t="s">
        <v>320</v>
      </c>
      <c r="C156" s="13" t="str">
        <f t="shared" si="2"/>
        <v>February</v>
      </c>
      <c r="D156" s="3" t="s">
        <v>46</v>
      </c>
      <c r="E156" s="14" t="s">
        <v>839</v>
      </c>
      <c r="F156" s="3" t="s">
        <v>37</v>
      </c>
      <c r="G156" s="3" t="s">
        <v>19</v>
      </c>
      <c r="H156" s="3" t="s">
        <v>20</v>
      </c>
      <c r="I156" s="3">
        <v>2</v>
      </c>
      <c r="J156" s="3">
        <v>130</v>
      </c>
      <c r="K156" s="3">
        <v>260</v>
      </c>
      <c r="L156" s="3" t="s">
        <v>21</v>
      </c>
    </row>
    <row r="157" spans="1:12" x14ac:dyDescent="0.3">
      <c r="A157" s="3" t="s">
        <v>321</v>
      </c>
      <c r="B157" s="3" t="s">
        <v>322</v>
      </c>
      <c r="C157" s="13" t="str">
        <f t="shared" si="2"/>
        <v>July</v>
      </c>
      <c r="D157" s="3" t="s">
        <v>51</v>
      </c>
      <c r="E157" s="14" t="s">
        <v>839</v>
      </c>
      <c r="F157" s="3" t="s">
        <v>25</v>
      </c>
      <c r="G157" s="3" t="s">
        <v>57</v>
      </c>
      <c r="H157" s="3" t="s">
        <v>14</v>
      </c>
      <c r="I157" s="3">
        <v>1</v>
      </c>
      <c r="J157" s="3">
        <v>229</v>
      </c>
      <c r="K157" s="3">
        <v>229</v>
      </c>
      <c r="L157" s="3" t="s">
        <v>32</v>
      </c>
    </row>
    <row r="158" spans="1:12" x14ac:dyDescent="0.3">
      <c r="A158" s="3" t="s">
        <v>323</v>
      </c>
      <c r="B158" s="3" t="s">
        <v>324</v>
      </c>
      <c r="C158" s="13" t="str">
        <f t="shared" si="2"/>
        <v>June</v>
      </c>
      <c r="D158" s="3" t="s">
        <v>840</v>
      </c>
      <c r="E158" s="14" t="s">
        <v>839</v>
      </c>
      <c r="F158" s="3" t="s">
        <v>37</v>
      </c>
      <c r="G158" s="3" t="s">
        <v>69</v>
      </c>
      <c r="H158" s="3" t="s">
        <v>14</v>
      </c>
      <c r="I158" s="3">
        <v>3</v>
      </c>
      <c r="J158" s="3">
        <v>152</v>
      </c>
      <c r="K158" s="3">
        <v>456</v>
      </c>
      <c r="L158" s="3" t="s">
        <v>15</v>
      </c>
    </row>
    <row r="159" spans="1:12" x14ac:dyDescent="0.3">
      <c r="A159" s="3" t="s">
        <v>325</v>
      </c>
      <c r="B159" s="3" t="s">
        <v>326</v>
      </c>
      <c r="C159" s="13" t="str">
        <f t="shared" si="2"/>
        <v>June</v>
      </c>
      <c r="D159" s="3" t="s">
        <v>46</v>
      </c>
      <c r="E159" s="14" t="s">
        <v>839</v>
      </c>
      <c r="F159" s="3" t="s">
        <v>12</v>
      </c>
      <c r="G159" s="3" t="s">
        <v>26</v>
      </c>
      <c r="H159" s="3" t="s">
        <v>27</v>
      </c>
      <c r="I159" s="3">
        <v>1</v>
      </c>
      <c r="J159" s="3">
        <v>176</v>
      </c>
      <c r="K159" s="3">
        <v>176</v>
      </c>
      <c r="L159" s="3" t="s">
        <v>21</v>
      </c>
    </row>
    <row r="160" spans="1:12" x14ac:dyDescent="0.3">
      <c r="A160" s="3" t="s">
        <v>327</v>
      </c>
      <c r="B160" s="3" t="s">
        <v>328</v>
      </c>
      <c r="C160" s="13" t="str">
        <f t="shared" si="2"/>
        <v>December</v>
      </c>
      <c r="D160" s="3" t="s">
        <v>54</v>
      </c>
      <c r="E160" s="14" t="s">
        <v>839</v>
      </c>
      <c r="F160" s="3" t="s">
        <v>37</v>
      </c>
      <c r="G160" s="3" t="s">
        <v>42</v>
      </c>
      <c r="H160" s="3" t="s">
        <v>43</v>
      </c>
      <c r="I160" s="3">
        <v>1</v>
      </c>
      <c r="J160" s="3">
        <v>209</v>
      </c>
      <c r="K160" s="3">
        <v>209</v>
      </c>
      <c r="L160" s="3" t="s">
        <v>15</v>
      </c>
    </row>
    <row r="161" spans="1:12" x14ac:dyDescent="0.3">
      <c r="A161" s="3" t="s">
        <v>329</v>
      </c>
      <c r="B161" s="3" t="s">
        <v>81</v>
      </c>
      <c r="C161" s="13" t="str">
        <f t="shared" si="2"/>
        <v>September</v>
      </c>
      <c r="D161" s="3" t="s">
        <v>46</v>
      </c>
      <c r="E161" s="14" t="s">
        <v>839</v>
      </c>
      <c r="F161" s="3" t="s">
        <v>30</v>
      </c>
      <c r="G161" s="3" t="s">
        <v>74</v>
      </c>
      <c r="H161" s="3" t="s">
        <v>27</v>
      </c>
      <c r="I161" s="3">
        <v>3</v>
      </c>
      <c r="J161" s="3">
        <v>244</v>
      </c>
      <c r="K161" s="3">
        <v>732</v>
      </c>
      <c r="L161" s="3" t="s">
        <v>21</v>
      </c>
    </row>
    <row r="162" spans="1:12" x14ac:dyDescent="0.3">
      <c r="A162" s="3" t="s">
        <v>330</v>
      </c>
      <c r="B162" s="3" t="s">
        <v>331</v>
      </c>
      <c r="C162" s="13" t="str">
        <f t="shared" si="2"/>
        <v>August</v>
      </c>
      <c r="D162" s="3" t="s">
        <v>11</v>
      </c>
      <c r="E162" s="14" t="s">
        <v>839</v>
      </c>
      <c r="F162" s="3" t="s">
        <v>30</v>
      </c>
      <c r="G162" s="3" t="s">
        <v>13</v>
      </c>
      <c r="H162" s="3" t="s">
        <v>14</v>
      </c>
      <c r="I162" s="3">
        <v>4</v>
      </c>
      <c r="J162" s="3">
        <v>174</v>
      </c>
      <c r="K162" s="3">
        <v>696</v>
      </c>
      <c r="L162" s="3" t="s">
        <v>15</v>
      </c>
    </row>
    <row r="163" spans="1:12" x14ac:dyDescent="0.3">
      <c r="A163" s="3" t="s">
        <v>332</v>
      </c>
      <c r="B163" s="3" t="s">
        <v>207</v>
      </c>
      <c r="C163" s="13" t="str">
        <f t="shared" si="2"/>
        <v>June</v>
      </c>
      <c r="D163" s="3" t="s">
        <v>18</v>
      </c>
      <c r="E163" s="14" t="s">
        <v>839</v>
      </c>
      <c r="F163" s="3" t="s">
        <v>41</v>
      </c>
      <c r="G163" s="3" t="s">
        <v>66</v>
      </c>
      <c r="H163" s="3" t="s">
        <v>43</v>
      </c>
      <c r="I163" s="3">
        <v>5</v>
      </c>
      <c r="J163" s="3">
        <v>125</v>
      </c>
      <c r="K163" s="3">
        <v>625</v>
      </c>
      <c r="L163" s="3" t="s">
        <v>15</v>
      </c>
    </row>
    <row r="164" spans="1:12" x14ac:dyDescent="0.3">
      <c r="A164" s="3" t="s">
        <v>333</v>
      </c>
      <c r="B164" s="3" t="s">
        <v>95</v>
      </c>
      <c r="C164" s="13" t="str">
        <f t="shared" si="2"/>
        <v>September</v>
      </c>
      <c r="D164" s="3" t="s">
        <v>24</v>
      </c>
      <c r="E164" s="14" t="s">
        <v>839</v>
      </c>
      <c r="F164" s="3" t="s">
        <v>41</v>
      </c>
      <c r="G164" s="3" t="s">
        <v>57</v>
      </c>
      <c r="H164" s="3" t="s">
        <v>14</v>
      </c>
      <c r="I164" s="3">
        <v>1</v>
      </c>
      <c r="J164" s="3">
        <v>211</v>
      </c>
      <c r="K164" s="3">
        <v>211</v>
      </c>
      <c r="L164" s="3" t="s">
        <v>21</v>
      </c>
    </row>
    <row r="165" spans="1:12" x14ac:dyDescent="0.3">
      <c r="A165" s="3" t="s">
        <v>334</v>
      </c>
      <c r="B165" s="3" t="s">
        <v>195</v>
      </c>
      <c r="C165" s="13" t="str">
        <f t="shared" si="2"/>
        <v>March</v>
      </c>
      <c r="D165" s="3" t="s">
        <v>51</v>
      </c>
      <c r="E165" s="14" t="s">
        <v>839</v>
      </c>
      <c r="F165" s="3" t="s">
        <v>41</v>
      </c>
      <c r="G165" s="3" t="s">
        <v>74</v>
      </c>
      <c r="H165" s="3" t="s">
        <v>27</v>
      </c>
      <c r="I165" s="3">
        <v>2</v>
      </c>
      <c r="J165" s="3">
        <v>270</v>
      </c>
      <c r="K165" s="3">
        <v>540</v>
      </c>
      <c r="L165" s="3" t="s">
        <v>15</v>
      </c>
    </row>
    <row r="166" spans="1:12" x14ac:dyDescent="0.3">
      <c r="A166" s="3" t="s">
        <v>335</v>
      </c>
      <c r="B166" s="3" t="s">
        <v>336</v>
      </c>
      <c r="C166" s="13" t="str">
        <f t="shared" si="2"/>
        <v>August</v>
      </c>
      <c r="D166" s="3" t="s">
        <v>54</v>
      </c>
      <c r="E166" s="14" t="s">
        <v>839</v>
      </c>
      <c r="F166" s="3" t="s">
        <v>37</v>
      </c>
      <c r="G166" s="3" t="s">
        <v>26</v>
      </c>
      <c r="H166" s="3" t="s">
        <v>27</v>
      </c>
      <c r="I166" s="3">
        <v>4</v>
      </c>
      <c r="J166" s="3">
        <v>176</v>
      </c>
      <c r="K166" s="3">
        <v>704</v>
      </c>
      <c r="L166" s="3" t="s">
        <v>21</v>
      </c>
    </row>
    <row r="167" spans="1:12" x14ac:dyDescent="0.3">
      <c r="A167" s="3" t="s">
        <v>337</v>
      </c>
      <c r="B167" s="3" t="s">
        <v>23</v>
      </c>
      <c r="C167" s="13" t="str">
        <f t="shared" si="2"/>
        <v>March</v>
      </c>
      <c r="D167" s="3" t="s">
        <v>54</v>
      </c>
      <c r="E167" s="14" t="s">
        <v>839</v>
      </c>
      <c r="F167" s="3" t="s">
        <v>41</v>
      </c>
      <c r="G167" s="3" t="s">
        <v>13</v>
      </c>
      <c r="H167" s="3" t="s">
        <v>14</v>
      </c>
      <c r="I167" s="3">
        <v>3</v>
      </c>
      <c r="J167" s="3">
        <v>165</v>
      </c>
      <c r="K167" s="3">
        <v>495</v>
      </c>
      <c r="L167" s="3" t="s">
        <v>21</v>
      </c>
    </row>
    <row r="168" spans="1:12" x14ac:dyDescent="0.3">
      <c r="A168" s="3" t="s">
        <v>338</v>
      </c>
      <c r="B168" s="3" t="s">
        <v>239</v>
      </c>
      <c r="C168" s="13" t="str">
        <f t="shared" si="2"/>
        <v>April</v>
      </c>
      <c r="D168" s="3" t="s">
        <v>11</v>
      </c>
      <c r="E168" s="14" t="s">
        <v>839</v>
      </c>
      <c r="F168" s="3" t="s">
        <v>30</v>
      </c>
      <c r="G168" s="3" t="s">
        <v>26</v>
      </c>
      <c r="H168" s="3" t="s">
        <v>27</v>
      </c>
      <c r="I168" s="3">
        <v>5</v>
      </c>
      <c r="J168" s="3">
        <v>190</v>
      </c>
      <c r="K168" s="3">
        <v>950</v>
      </c>
      <c r="L168" s="3" t="s">
        <v>38</v>
      </c>
    </row>
    <row r="169" spans="1:12" x14ac:dyDescent="0.3">
      <c r="A169" s="3" t="s">
        <v>339</v>
      </c>
      <c r="B169" s="3" t="s">
        <v>340</v>
      </c>
      <c r="C169" s="13" t="str">
        <f t="shared" si="2"/>
        <v>January</v>
      </c>
      <c r="D169" s="3" t="s">
        <v>840</v>
      </c>
      <c r="E169" s="14" t="s">
        <v>839</v>
      </c>
      <c r="F169" s="3" t="s">
        <v>41</v>
      </c>
      <c r="G169" s="3" t="s">
        <v>79</v>
      </c>
      <c r="H169" s="3" t="s">
        <v>20</v>
      </c>
      <c r="I169" s="3">
        <v>1</v>
      </c>
      <c r="J169" s="3">
        <v>154</v>
      </c>
      <c r="K169" s="3">
        <v>154</v>
      </c>
      <c r="L169" s="3" t="s">
        <v>21</v>
      </c>
    </row>
    <row r="170" spans="1:12" x14ac:dyDescent="0.3">
      <c r="A170" s="3" t="s">
        <v>341</v>
      </c>
      <c r="B170" s="3" t="s">
        <v>342</v>
      </c>
      <c r="C170" s="13" t="str">
        <f t="shared" si="2"/>
        <v>March</v>
      </c>
      <c r="D170" s="3" t="s">
        <v>54</v>
      </c>
      <c r="E170" s="14" t="s">
        <v>839</v>
      </c>
      <c r="F170" s="3" t="s">
        <v>41</v>
      </c>
      <c r="G170" s="3" t="s">
        <v>74</v>
      </c>
      <c r="H170" s="3" t="s">
        <v>27</v>
      </c>
      <c r="I170" s="3">
        <v>4</v>
      </c>
      <c r="J170" s="3">
        <v>241</v>
      </c>
      <c r="K170" s="3">
        <v>964</v>
      </c>
      <c r="L170" s="3" t="s">
        <v>38</v>
      </c>
    </row>
    <row r="171" spans="1:12" x14ac:dyDescent="0.3">
      <c r="A171" s="3" t="s">
        <v>343</v>
      </c>
      <c r="B171" s="3" t="s">
        <v>344</v>
      </c>
      <c r="C171" s="13" t="str">
        <f t="shared" si="2"/>
        <v>April</v>
      </c>
      <c r="D171" s="3" t="s">
        <v>24</v>
      </c>
      <c r="E171" s="14" t="s">
        <v>839</v>
      </c>
      <c r="F171" s="3" t="s">
        <v>30</v>
      </c>
      <c r="G171" s="3" t="s">
        <v>13</v>
      </c>
      <c r="H171" s="3" t="s">
        <v>14</v>
      </c>
      <c r="I171" s="3">
        <v>4</v>
      </c>
      <c r="J171" s="3">
        <v>199</v>
      </c>
      <c r="K171" s="3">
        <v>796</v>
      </c>
      <c r="L171" s="3" t="s">
        <v>15</v>
      </c>
    </row>
    <row r="172" spans="1:12" x14ac:dyDescent="0.3">
      <c r="A172" s="3" t="s">
        <v>345</v>
      </c>
      <c r="B172" s="3" t="s">
        <v>346</v>
      </c>
      <c r="C172" s="13" t="str">
        <f t="shared" si="2"/>
        <v>June</v>
      </c>
      <c r="D172" s="3" t="s">
        <v>46</v>
      </c>
      <c r="E172" s="14" t="s">
        <v>839</v>
      </c>
      <c r="F172" s="3" t="s">
        <v>30</v>
      </c>
      <c r="G172" s="3" t="s">
        <v>57</v>
      </c>
      <c r="H172" s="3" t="s">
        <v>14</v>
      </c>
      <c r="I172" s="3">
        <v>3</v>
      </c>
      <c r="J172" s="3">
        <v>221</v>
      </c>
      <c r="K172" s="3">
        <v>663</v>
      </c>
      <c r="L172" s="3" t="s">
        <v>21</v>
      </c>
    </row>
    <row r="173" spans="1:12" x14ac:dyDescent="0.3">
      <c r="A173" s="3" t="s">
        <v>347</v>
      </c>
      <c r="B173" s="3" t="s">
        <v>348</v>
      </c>
      <c r="C173" s="13" t="str">
        <f t="shared" si="2"/>
        <v>February</v>
      </c>
      <c r="D173" s="3" t="s">
        <v>840</v>
      </c>
      <c r="E173" s="14" t="s">
        <v>839</v>
      </c>
      <c r="F173" s="3" t="s">
        <v>41</v>
      </c>
      <c r="G173" s="3" t="s">
        <v>13</v>
      </c>
      <c r="H173" s="3" t="s">
        <v>14</v>
      </c>
      <c r="I173" s="3">
        <v>2</v>
      </c>
      <c r="J173" s="3">
        <v>169</v>
      </c>
      <c r="K173" s="3">
        <v>338</v>
      </c>
      <c r="L173" s="3" t="s">
        <v>32</v>
      </c>
    </row>
    <row r="174" spans="1:12" x14ac:dyDescent="0.3">
      <c r="A174" s="3" t="s">
        <v>349</v>
      </c>
      <c r="B174" s="3" t="s">
        <v>336</v>
      </c>
      <c r="C174" s="13" t="str">
        <f t="shared" si="2"/>
        <v>August</v>
      </c>
      <c r="D174" s="3" t="s">
        <v>11</v>
      </c>
      <c r="E174" s="14" t="s">
        <v>839</v>
      </c>
      <c r="F174" s="3" t="s">
        <v>37</v>
      </c>
      <c r="G174" s="3" t="s">
        <v>74</v>
      </c>
      <c r="H174" s="3" t="s">
        <v>27</v>
      </c>
      <c r="I174" s="3">
        <v>2</v>
      </c>
      <c r="J174" s="3">
        <v>265</v>
      </c>
      <c r="K174" s="3">
        <v>530</v>
      </c>
      <c r="L174" s="3" t="s">
        <v>38</v>
      </c>
    </row>
    <row r="175" spans="1:12" x14ac:dyDescent="0.3">
      <c r="A175" s="3" t="s">
        <v>350</v>
      </c>
      <c r="B175" s="3" t="s">
        <v>351</v>
      </c>
      <c r="C175" s="13" t="str">
        <f t="shared" si="2"/>
        <v>June</v>
      </c>
      <c r="D175" s="3" t="s">
        <v>51</v>
      </c>
      <c r="E175" s="14" t="s">
        <v>839</v>
      </c>
      <c r="F175" s="3" t="s">
        <v>41</v>
      </c>
      <c r="G175" s="3" t="s">
        <v>31</v>
      </c>
      <c r="H175" s="3" t="s">
        <v>14</v>
      </c>
      <c r="I175" s="3">
        <v>1</v>
      </c>
      <c r="J175" s="3">
        <v>186</v>
      </c>
      <c r="K175" s="3">
        <v>186</v>
      </c>
      <c r="L175" s="3" t="s">
        <v>21</v>
      </c>
    </row>
    <row r="176" spans="1:12" x14ac:dyDescent="0.3">
      <c r="A176" s="3" t="s">
        <v>352</v>
      </c>
      <c r="B176" s="3" t="s">
        <v>353</v>
      </c>
      <c r="C176" s="13" t="str">
        <f t="shared" si="2"/>
        <v>April</v>
      </c>
      <c r="D176" s="3" t="s">
        <v>46</v>
      </c>
      <c r="E176" s="14" t="s">
        <v>839</v>
      </c>
      <c r="F176" s="3" t="s">
        <v>41</v>
      </c>
      <c r="G176" s="3" t="s">
        <v>42</v>
      </c>
      <c r="H176" s="3" t="s">
        <v>43</v>
      </c>
      <c r="I176" s="3">
        <v>3</v>
      </c>
      <c r="J176" s="3">
        <v>221</v>
      </c>
      <c r="K176" s="3">
        <v>663</v>
      </c>
      <c r="L176" s="3" t="s">
        <v>21</v>
      </c>
    </row>
    <row r="177" spans="1:12" x14ac:dyDescent="0.3">
      <c r="A177" s="3" t="s">
        <v>354</v>
      </c>
      <c r="B177" s="3" t="s">
        <v>355</v>
      </c>
      <c r="C177" s="13" t="str">
        <f t="shared" si="2"/>
        <v>February</v>
      </c>
      <c r="D177" s="3" t="s">
        <v>51</v>
      </c>
      <c r="E177" s="14" t="s">
        <v>839</v>
      </c>
      <c r="F177" s="3" t="s">
        <v>25</v>
      </c>
      <c r="G177" s="3" t="s">
        <v>26</v>
      </c>
      <c r="H177" s="3" t="s">
        <v>27</v>
      </c>
      <c r="I177" s="3">
        <v>3</v>
      </c>
      <c r="J177" s="3">
        <v>158</v>
      </c>
      <c r="K177" s="3">
        <v>474</v>
      </c>
      <c r="L177" s="3" t="s">
        <v>32</v>
      </c>
    </row>
    <row r="178" spans="1:12" x14ac:dyDescent="0.3">
      <c r="A178" s="3" t="s">
        <v>356</v>
      </c>
      <c r="B178" s="3" t="s">
        <v>357</v>
      </c>
      <c r="C178" s="13" t="str">
        <f t="shared" si="2"/>
        <v>July</v>
      </c>
      <c r="D178" s="3" t="s">
        <v>11</v>
      </c>
      <c r="E178" s="14" t="s">
        <v>839</v>
      </c>
      <c r="F178" s="3" t="s">
        <v>37</v>
      </c>
      <c r="G178" s="3" t="s">
        <v>31</v>
      </c>
      <c r="H178" s="3" t="s">
        <v>14</v>
      </c>
      <c r="I178" s="3">
        <v>5</v>
      </c>
      <c r="J178" s="3">
        <v>203</v>
      </c>
      <c r="K178" s="3">
        <v>1015</v>
      </c>
      <c r="L178" s="3" t="s">
        <v>15</v>
      </c>
    </row>
    <row r="179" spans="1:12" x14ac:dyDescent="0.3">
      <c r="A179" s="3" t="s">
        <v>358</v>
      </c>
      <c r="B179" s="3" t="s">
        <v>93</v>
      </c>
      <c r="C179" s="13" t="str">
        <f t="shared" si="2"/>
        <v>October</v>
      </c>
      <c r="D179" s="3" t="s">
        <v>11</v>
      </c>
      <c r="E179" s="14" t="s">
        <v>839</v>
      </c>
      <c r="F179" s="3" t="s">
        <v>37</v>
      </c>
      <c r="G179" s="3" t="s">
        <v>74</v>
      </c>
      <c r="H179" s="3" t="s">
        <v>27</v>
      </c>
      <c r="I179" s="3">
        <v>3</v>
      </c>
      <c r="J179" s="3">
        <v>243</v>
      </c>
      <c r="K179" s="3">
        <v>729</v>
      </c>
      <c r="L179" s="3" t="s">
        <v>32</v>
      </c>
    </row>
    <row r="180" spans="1:12" x14ac:dyDescent="0.3">
      <c r="A180" s="3" t="s">
        <v>359</v>
      </c>
      <c r="B180" s="3" t="s">
        <v>360</v>
      </c>
      <c r="C180" s="13" t="str">
        <f t="shared" si="2"/>
        <v>January</v>
      </c>
      <c r="D180" s="3" t="s">
        <v>11</v>
      </c>
      <c r="E180" s="14" t="s">
        <v>839</v>
      </c>
      <c r="F180" s="3" t="s">
        <v>12</v>
      </c>
      <c r="G180" s="3" t="s">
        <v>31</v>
      </c>
      <c r="H180" s="3" t="s">
        <v>14</v>
      </c>
      <c r="I180" s="3">
        <v>3</v>
      </c>
      <c r="J180" s="3">
        <v>195</v>
      </c>
      <c r="K180" s="3">
        <v>585</v>
      </c>
      <c r="L180" s="3" t="s">
        <v>15</v>
      </c>
    </row>
    <row r="181" spans="1:12" x14ac:dyDescent="0.3">
      <c r="A181" s="3" t="s">
        <v>361</v>
      </c>
      <c r="B181" s="3" t="s">
        <v>91</v>
      </c>
      <c r="C181" s="13" t="str">
        <f t="shared" si="2"/>
        <v>October</v>
      </c>
      <c r="D181" s="3" t="s">
        <v>51</v>
      </c>
      <c r="E181" s="14" t="s">
        <v>839</v>
      </c>
      <c r="F181" s="3" t="s">
        <v>12</v>
      </c>
      <c r="G181" s="3" t="s">
        <v>13</v>
      </c>
      <c r="H181" s="3" t="s">
        <v>14</v>
      </c>
      <c r="I181" s="3">
        <v>1</v>
      </c>
      <c r="J181" s="3">
        <v>176</v>
      </c>
      <c r="K181" s="3">
        <v>176</v>
      </c>
      <c r="L181" s="3" t="s">
        <v>32</v>
      </c>
    </row>
    <row r="182" spans="1:12" x14ac:dyDescent="0.3">
      <c r="A182" s="3" t="s">
        <v>362</v>
      </c>
      <c r="B182" s="3" t="s">
        <v>363</v>
      </c>
      <c r="C182" s="13" t="str">
        <f t="shared" si="2"/>
        <v>January</v>
      </c>
      <c r="D182" s="3" t="s">
        <v>18</v>
      </c>
      <c r="E182" s="14" t="s">
        <v>839</v>
      </c>
      <c r="F182" s="3" t="s">
        <v>12</v>
      </c>
      <c r="G182" s="3" t="s">
        <v>74</v>
      </c>
      <c r="H182" s="3" t="s">
        <v>27</v>
      </c>
      <c r="I182" s="3">
        <v>4</v>
      </c>
      <c r="J182" s="3">
        <v>256</v>
      </c>
      <c r="K182" s="3">
        <v>1024</v>
      </c>
      <c r="L182" s="3" t="s">
        <v>38</v>
      </c>
    </row>
    <row r="183" spans="1:12" x14ac:dyDescent="0.3">
      <c r="A183" s="3" t="s">
        <v>364</v>
      </c>
      <c r="B183" s="3" t="s">
        <v>365</v>
      </c>
      <c r="C183" s="13" t="str">
        <f t="shared" si="2"/>
        <v>February</v>
      </c>
      <c r="D183" s="3" t="s">
        <v>840</v>
      </c>
      <c r="E183" s="14" t="s">
        <v>839</v>
      </c>
      <c r="F183" s="3" t="s">
        <v>30</v>
      </c>
      <c r="G183" s="3" t="s">
        <v>79</v>
      </c>
      <c r="H183" s="3" t="s">
        <v>20</v>
      </c>
      <c r="I183" s="3">
        <v>4</v>
      </c>
      <c r="J183" s="3">
        <v>178</v>
      </c>
      <c r="K183" s="3">
        <v>712</v>
      </c>
      <c r="L183" s="3" t="s">
        <v>15</v>
      </c>
    </row>
    <row r="184" spans="1:12" x14ac:dyDescent="0.3">
      <c r="A184" s="3" t="s">
        <v>366</v>
      </c>
      <c r="B184" s="3" t="s">
        <v>97</v>
      </c>
      <c r="C184" s="13" t="str">
        <f t="shared" si="2"/>
        <v>January</v>
      </c>
      <c r="D184" s="3" t="s">
        <v>54</v>
      </c>
      <c r="E184" s="14" t="s">
        <v>839</v>
      </c>
      <c r="F184" s="3" t="s">
        <v>25</v>
      </c>
      <c r="G184" s="3" t="s">
        <v>79</v>
      </c>
      <c r="H184" s="3" t="s">
        <v>20</v>
      </c>
      <c r="I184" s="3">
        <v>3</v>
      </c>
      <c r="J184" s="3">
        <v>149</v>
      </c>
      <c r="K184" s="3">
        <v>447</v>
      </c>
      <c r="L184" s="3" t="s">
        <v>15</v>
      </c>
    </row>
    <row r="185" spans="1:12" x14ac:dyDescent="0.3">
      <c r="A185" s="3" t="s">
        <v>367</v>
      </c>
      <c r="B185" s="3" t="s">
        <v>368</v>
      </c>
      <c r="C185" s="13" t="str">
        <f t="shared" si="2"/>
        <v>April</v>
      </c>
      <c r="D185" s="3" t="s">
        <v>24</v>
      </c>
      <c r="E185" s="14" t="s">
        <v>839</v>
      </c>
      <c r="F185" s="3" t="s">
        <v>25</v>
      </c>
      <c r="G185" s="3" t="s">
        <v>42</v>
      </c>
      <c r="H185" s="3" t="s">
        <v>43</v>
      </c>
      <c r="I185" s="3">
        <v>3</v>
      </c>
      <c r="J185" s="3">
        <v>231</v>
      </c>
      <c r="K185" s="3">
        <v>693</v>
      </c>
      <c r="L185" s="3" t="s">
        <v>15</v>
      </c>
    </row>
    <row r="186" spans="1:12" x14ac:dyDescent="0.3">
      <c r="A186" s="3" t="s">
        <v>369</v>
      </c>
      <c r="B186" s="3" t="s">
        <v>370</v>
      </c>
      <c r="C186" s="13" t="str">
        <f t="shared" si="2"/>
        <v>June</v>
      </c>
      <c r="D186" s="3" t="s">
        <v>51</v>
      </c>
      <c r="E186" s="14" t="s">
        <v>839</v>
      </c>
      <c r="F186" s="3" t="s">
        <v>25</v>
      </c>
      <c r="G186" s="3" t="s">
        <v>79</v>
      </c>
      <c r="H186" s="3" t="s">
        <v>20</v>
      </c>
      <c r="I186" s="3">
        <v>1</v>
      </c>
      <c r="J186" s="3">
        <v>180</v>
      </c>
      <c r="K186" s="3">
        <v>180</v>
      </c>
      <c r="L186" s="3" t="s">
        <v>32</v>
      </c>
    </row>
    <row r="187" spans="1:12" x14ac:dyDescent="0.3">
      <c r="A187" s="3" t="s">
        <v>371</v>
      </c>
      <c r="B187" s="3" t="s">
        <v>372</v>
      </c>
      <c r="C187" s="13" t="str">
        <f t="shared" si="2"/>
        <v>February</v>
      </c>
      <c r="D187" s="3" t="s">
        <v>18</v>
      </c>
      <c r="E187" s="14" t="s">
        <v>839</v>
      </c>
      <c r="F187" s="3" t="s">
        <v>41</v>
      </c>
      <c r="G187" s="3" t="s">
        <v>66</v>
      </c>
      <c r="H187" s="3" t="s">
        <v>43</v>
      </c>
      <c r="I187" s="3">
        <v>3</v>
      </c>
      <c r="J187" s="3">
        <v>138</v>
      </c>
      <c r="K187" s="3">
        <v>414</v>
      </c>
      <c r="L187" s="3" t="s">
        <v>38</v>
      </c>
    </row>
    <row r="188" spans="1:12" x14ac:dyDescent="0.3">
      <c r="A188" s="3" t="s">
        <v>373</v>
      </c>
      <c r="B188" s="3" t="s">
        <v>147</v>
      </c>
      <c r="C188" s="13" t="str">
        <f t="shared" si="2"/>
        <v>February</v>
      </c>
      <c r="D188" s="3" t="s">
        <v>840</v>
      </c>
      <c r="E188" s="14" t="s">
        <v>839</v>
      </c>
      <c r="F188" s="3" t="s">
        <v>12</v>
      </c>
      <c r="G188" s="3" t="s">
        <v>57</v>
      </c>
      <c r="H188" s="3" t="s">
        <v>14</v>
      </c>
      <c r="I188" s="3">
        <v>1</v>
      </c>
      <c r="J188" s="3">
        <v>194</v>
      </c>
      <c r="K188" s="3">
        <v>194</v>
      </c>
      <c r="L188" s="3" t="s">
        <v>32</v>
      </c>
    </row>
    <row r="189" spans="1:12" x14ac:dyDescent="0.3">
      <c r="A189" s="3" t="s">
        <v>374</v>
      </c>
      <c r="B189" s="3" t="s">
        <v>375</v>
      </c>
      <c r="C189" s="13" t="str">
        <f t="shared" si="2"/>
        <v>October</v>
      </c>
      <c r="D189" s="3" t="s">
        <v>51</v>
      </c>
      <c r="E189" s="14" t="s">
        <v>839</v>
      </c>
      <c r="F189" s="3" t="s">
        <v>41</v>
      </c>
      <c r="G189" s="3" t="s">
        <v>69</v>
      </c>
      <c r="H189" s="3" t="s">
        <v>14</v>
      </c>
      <c r="I189" s="3">
        <v>5</v>
      </c>
      <c r="J189" s="3">
        <v>143</v>
      </c>
      <c r="K189" s="3">
        <v>715</v>
      </c>
      <c r="L189" s="3" t="s">
        <v>32</v>
      </c>
    </row>
    <row r="190" spans="1:12" x14ac:dyDescent="0.3">
      <c r="A190" s="3" t="s">
        <v>376</v>
      </c>
      <c r="B190" s="3" t="s">
        <v>260</v>
      </c>
      <c r="C190" s="13" t="str">
        <f t="shared" si="2"/>
        <v>May</v>
      </c>
      <c r="D190" s="3" t="s">
        <v>46</v>
      </c>
      <c r="E190" s="14" t="s">
        <v>839</v>
      </c>
      <c r="F190" s="3" t="s">
        <v>37</v>
      </c>
      <c r="G190" s="3" t="s">
        <v>74</v>
      </c>
      <c r="H190" s="3" t="s">
        <v>27</v>
      </c>
      <c r="I190" s="3">
        <v>5</v>
      </c>
      <c r="J190" s="3">
        <v>237</v>
      </c>
      <c r="K190" s="3">
        <v>1185</v>
      </c>
      <c r="L190" s="3" t="s">
        <v>15</v>
      </c>
    </row>
    <row r="191" spans="1:12" x14ac:dyDescent="0.3">
      <c r="A191" s="3" t="s">
        <v>377</v>
      </c>
      <c r="B191" s="3" t="s">
        <v>378</v>
      </c>
      <c r="C191" s="13" t="str">
        <f t="shared" si="2"/>
        <v>March</v>
      </c>
      <c r="D191" s="3" t="s">
        <v>51</v>
      </c>
      <c r="E191" s="14" t="s">
        <v>839</v>
      </c>
      <c r="F191" s="3" t="s">
        <v>12</v>
      </c>
      <c r="G191" s="3" t="s">
        <v>42</v>
      </c>
      <c r="H191" s="3" t="s">
        <v>43</v>
      </c>
      <c r="I191" s="3">
        <v>4</v>
      </c>
      <c r="J191" s="3">
        <v>235</v>
      </c>
      <c r="K191" s="3">
        <v>940</v>
      </c>
      <c r="L191" s="3" t="s">
        <v>15</v>
      </c>
    </row>
    <row r="192" spans="1:12" x14ac:dyDescent="0.3">
      <c r="A192" s="3" t="s">
        <v>379</v>
      </c>
      <c r="B192" s="3" t="s">
        <v>143</v>
      </c>
      <c r="C192" s="13" t="str">
        <f t="shared" si="2"/>
        <v>August</v>
      </c>
      <c r="D192" s="3" t="s">
        <v>51</v>
      </c>
      <c r="E192" s="14" t="s">
        <v>839</v>
      </c>
      <c r="F192" s="3" t="s">
        <v>37</v>
      </c>
      <c r="G192" s="3" t="s">
        <v>19</v>
      </c>
      <c r="H192" s="3" t="s">
        <v>20</v>
      </c>
      <c r="I192" s="3">
        <v>5</v>
      </c>
      <c r="J192" s="3">
        <v>157</v>
      </c>
      <c r="K192" s="3">
        <v>785</v>
      </c>
      <c r="L192" s="3" t="s">
        <v>21</v>
      </c>
    </row>
    <row r="193" spans="1:12" x14ac:dyDescent="0.3">
      <c r="A193" s="3" t="s">
        <v>380</v>
      </c>
      <c r="B193" s="3" t="s">
        <v>381</v>
      </c>
      <c r="C193" s="13" t="str">
        <f t="shared" si="2"/>
        <v>March</v>
      </c>
      <c r="D193" s="3" t="s">
        <v>840</v>
      </c>
      <c r="E193" s="14" t="s">
        <v>839</v>
      </c>
      <c r="F193" s="3" t="s">
        <v>12</v>
      </c>
      <c r="G193" s="3" t="s">
        <v>19</v>
      </c>
      <c r="H193" s="3" t="s">
        <v>20</v>
      </c>
      <c r="I193" s="3">
        <v>3</v>
      </c>
      <c r="J193" s="3">
        <v>147</v>
      </c>
      <c r="K193" s="3">
        <v>441</v>
      </c>
      <c r="L193" s="3" t="s">
        <v>32</v>
      </c>
    </row>
    <row r="194" spans="1:12" x14ac:dyDescent="0.3">
      <c r="A194" s="3" t="s">
        <v>382</v>
      </c>
      <c r="B194" s="3" t="s">
        <v>178</v>
      </c>
      <c r="C194" s="13" t="str">
        <f t="shared" si="2"/>
        <v>March</v>
      </c>
      <c r="D194" s="3" t="s">
        <v>46</v>
      </c>
      <c r="E194" s="14" t="s">
        <v>839</v>
      </c>
      <c r="F194" s="3" t="s">
        <v>30</v>
      </c>
      <c r="G194" s="3" t="s">
        <v>57</v>
      </c>
      <c r="H194" s="3" t="s">
        <v>14</v>
      </c>
      <c r="I194" s="3">
        <v>3</v>
      </c>
      <c r="J194" s="3">
        <v>211</v>
      </c>
      <c r="K194" s="3">
        <v>633</v>
      </c>
      <c r="L194" s="3" t="s">
        <v>15</v>
      </c>
    </row>
    <row r="195" spans="1:12" x14ac:dyDescent="0.3">
      <c r="A195" s="3" t="s">
        <v>383</v>
      </c>
      <c r="B195" s="3" t="s">
        <v>384</v>
      </c>
      <c r="C195" s="13" t="str">
        <f t="shared" ref="C195:C258" si="3">TEXT(B195,"mmmm")</f>
        <v>February</v>
      </c>
      <c r="D195" s="3" t="s">
        <v>840</v>
      </c>
      <c r="E195" s="14" t="s">
        <v>839</v>
      </c>
      <c r="F195" s="3" t="s">
        <v>41</v>
      </c>
      <c r="G195" s="3" t="s">
        <v>79</v>
      </c>
      <c r="H195" s="3" t="s">
        <v>20</v>
      </c>
      <c r="I195" s="3">
        <v>4</v>
      </c>
      <c r="J195" s="3">
        <v>157</v>
      </c>
      <c r="K195" s="3">
        <v>628</v>
      </c>
      <c r="L195" s="3" t="s">
        <v>32</v>
      </c>
    </row>
    <row r="196" spans="1:12" x14ac:dyDescent="0.3">
      <c r="A196" s="3" t="s">
        <v>385</v>
      </c>
      <c r="B196" s="3" t="s">
        <v>386</v>
      </c>
      <c r="C196" s="13" t="str">
        <f t="shared" si="3"/>
        <v>January</v>
      </c>
      <c r="D196" s="3" t="s">
        <v>51</v>
      </c>
      <c r="E196" s="14" t="s">
        <v>839</v>
      </c>
      <c r="F196" s="3" t="s">
        <v>12</v>
      </c>
      <c r="G196" s="3" t="s">
        <v>31</v>
      </c>
      <c r="H196" s="3" t="s">
        <v>14</v>
      </c>
      <c r="I196" s="3">
        <v>3</v>
      </c>
      <c r="J196" s="3">
        <v>211</v>
      </c>
      <c r="K196" s="3">
        <v>633</v>
      </c>
      <c r="L196" s="3" t="s">
        <v>15</v>
      </c>
    </row>
    <row r="197" spans="1:12" x14ac:dyDescent="0.3">
      <c r="A197" s="3" t="s">
        <v>387</v>
      </c>
      <c r="B197" s="3" t="s">
        <v>197</v>
      </c>
      <c r="C197" s="13" t="str">
        <f t="shared" si="3"/>
        <v>November</v>
      </c>
      <c r="D197" s="3" t="s">
        <v>46</v>
      </c>
      <c r="E197" s="14" t="s">
        <v>839</v>
      </c>
      <c r="F197" s="3" t="s">
        <v>12</v>
      </c>
      <c r="G197" s="3" t="s">
        <v>19</v>
      </c>
      <c r="H197" s="3" t="s">
        <v>20</v>
      </c>
      <c r="I197" s="3">
        <v>3</v>
      </c>
      <c r="J197" s="3">
        <v>120</v>
      </c>
      <c r="K197" s="3">
        <v>360</v>
      </c>
      <c r="L197" s="3" t="s">
        <v>15</v>
      </c>
    </row>
    <row r="198" spans="1:12" x14ac:dyDescent="0.3">
      <c r="A198" s="3" t="s">
        <v>388</v>
      </c>
      <c r="B198" s="3" t="s">
        <v>34</v>
      </c>
      <c r="C198" s="13" t="str">
        <f t="shared" si="3"/>
        <v>March</v>
      </c>
      <c r="D198" s="3" t="s">
        <v>24</v>
      </c>
      <c r="E198" s="14" t="s">
        <v>839</v>
      </c>
      <c r="F198" s="3" t="s">
        <v>30</v>
      </c>
      <c r="G198" s="3" t="s">
        <v>26</v>
      </c>
      <c r="H198" s="3" t="s">
        <v>27</v>
      </c>
      <c r="I198" s="3">
        <v>2</v>
      </c>
      <c r="J198" s="3">
        <v>156</v>
      </c>
      <c r="K198" s="3">
        <v>312</v>
      </c>
      <c r="L198" s="3" t="s">
        <v>32</v>
      </c>
    </row>
    <row r="199" spans="1:12" x14ac:dyDescent="0.3">
      <c r="A199" s="3" t="s">
        <v>389</v>
      </c>
      <c r="B199" s="3" t="s">
        <v>390</v>
      </c>
      <c r="C199" s="13" t="str">
        <f t="shared" si="3"/>
        <v>September</v>
      </c>
      <c r="D199" s="3" t="s">
        <v>24</v>
      </c>
      <c r="E199" s="14" t="s">
        <v>839</v>
      </c>
      <c r="F199" s="3" t="s">
        <v>30</v>
      </c>
      <c r="G199" s="3" t="s">
        <v>19</v>
      </c>
      <c r="H199" s="3" t="s">
        <v>20</v>
      </c>
      <c r="I199" s="3">
        <v>4</v>
      </c>
      <c r="J199" s="3">
        <v>121</v>
      </c>
      <c r="K199" s="3">
        <v>484</v>
      </c>
      <c r="L199" s="3" t="s">
        <v>32</v>
      </c>
    </row>
    <row r="200" spans="1:12" x14ac:dyDescent="0.3">
      <c r="A200" s="3" t="s">
        <v>391</v>
      </c>
      <c r="B200" s="3" t="s">
        <v>40</v>
      </c>
      <c r="C200" s="13" t="str">
        <f t="shared" si="3"/>
        <v>December</v>
      </c>
      <c r="D200" s="3" t="s">
        <v>51</v>
      </c>
      <c r="E200" s="14" t="s">
        <v>839</v>
      </c>
      <c r="F200" s="3" t="s">
        <v>25</v>
      </c>
      <c r="G200" s="3" t="s">
        <v>19</v>
      </c>
      <c r="H200" s="3" t="s">
        <v>20</v>
      </c>
      <c r="I200" s="3">
        <v>4</v>
      </c>
      <c r="J200" s="3">
        <v>142</v>
      </c>
      <c r="K200" s="3">
        <v>568</v>
      </c>
      <c r="L200" s="3" t="s">
        <v>32</v>
      </c>
    </row>
    <row r="201" spans="1:12" x14ac:dyDescent="0.3">
      <c r="A201" s="3" t="s">
        <v>392</v>
      </c>
      <c r="B201" s="3" t="s">
        <v>393</v>
      </c>
      <c r="C201" s="13" t="str">
        <f t="shared" si="3"/>
        <v>December</v>
      </c>
      <c r="D201" s="3" t="s">
        <v>840</v>
      </c>
      <c r="E201" s="14" t="s">
        <v>839</v>
      </c>
      <c r="F201" s="3" t="s">
        <v>37</v>
      </c>
      <c r="G201" s="3" t="s">
        <v>79</v>
      </c>
      <c r="H201" s="3" t="s">
        <v>20</v>
      </c>
      <c r="I201" s="3">
        <v>2</v>
      </c>
      <c r="J201" s="3">
        <v>165</v>
      </c>
      <c r="K201" s="3">
        <v>330</v>
      </c>
      <c r="L201" s="3" t="s">
        <v>32</v>
      </c>
    </row>
    <row r="202" spans="1:12" x14ac:dyDescent="0.3">
      <c r="A202" s="3" t="s">
        <v>394</v>
      </c>
      <c r="B202" s="3" t="s">
        <v>178</v>
      </c>
      <c r="C202" s="13" t="str">
        <f t="shared" si="3"/>
        <v>March</v>
      </c>
      <c r="D202" s="3" t="s">
        <v>18</v>
      </c>
      <c r="E202" s="14" t="s">
        <v>839</v>
      </c>
      <c r="F202" s="3" t="s">
        <v>37</v>
      </c>
      <c r="G202" s="3" t="s">
        <v>19</v>
      </c>
      <c r="H202" s="3" t="s">
        <v>20</v>
      </c>
      <c r="I202" s="3">
        <v>2</v>
      </c>
      <c r="J202" s="3">
        <v>149</v>
      </c>
      <c r="K202" s="3">
        <v>298</v>
      </c>
      <c r="L202" s="3" t="s">
        <v>21</v>
      </c>
    </row>
    <row r="203" spans="1:12" x14ac:dyDescent="0.3">
      <c r="A203" s="3" t="s">
        <v>395</v>
      </c>
      <c r="B203" s="3" t="s">
        <v>396</v>
      </c>
      <c r="C203" s="13" t="str">
        <f t="shared" si="3"/>
        <v>November</v>
      </c>
      <c r="D203" s="3" t="s">
        <v>24</v>
      </c>
      <c r="E203" s="14" t="s">
        <v>839</v>
      </c>
      <c r="F203" s="3" t="s">
        <v>30</v>
      </c>
      <c r="G203" s="3" t="s">
        <v>57</v>
      </c>
      <c r="H203" s="3" t="s">
        <v>14</v>
      </c>
      <c r="I203" s="3">
        <v>3</v>
      </c>
      <c r="J203" s="3">
        <v>224</v>
      </c>
      <c r="K203" s="3">
        <v>672</v>
      </c>
      <c r="L203" s="3" t="s">
        <v>38</v>
      </c>
    </row>
    <row r="204" spans="1:12" x14ac:dyDescent="0.3">
      <c r="A204" s="3" t="s">
        <v>397</v>
      </c>
      <c r="B204" s="3" t="s">
        <v>398</v>
      </c>
      <c r="C204" s="13" t="str">
        <f t="shared" si="3"/>
        <v>June</v>
      </c>
      <c r="D204" s="3" t="s">
        <v>24</v>
      </c>
      <c r="E204" s="14" t="s">
        <v>839</v>
      </c>
      <c r="F204" s="3" t="s">
        <v>12</v>
      </c>
      <c r="G204" s="3" t="s">
        <v>13</v>
      </c>
      <c r="H204" s="3" t="s">
        <v>14</v>
      </c>
      <c r="I204" s="3">
        <v>4</v>
      </c>
      <c r="J204" s="3">
        <v>189</v>
      </c>
      <c r="K204" s="3">
        <v>756</v>
      </c>
      <c r="L204" s="3" t="s">
        <v>21</v>
      </c>
    </row>
    <row r="205" spans="1:12" x14ac:dyDescent="0.3">
      <c r="A205" s="3" t="s">
        <v>399</v>
      </c>
      <c r="B205" s="3" t="s">
        <v>400</v>
      </c>
      <c r="C205" s="13" t="str">
        <f t="shared" si="3"/>
        <v>January</v>
      </c>
      <c r="D205" s="3" t="s">
        <v>24</v>
      </c>
      <c r="E205" s="14" t="s">
        <v>839</v>
      </c>
      <c r="F205" s="3" t="s">
        <v>25</v>
      </c>
      <c r="G205" s="3" t="s">
        <v>13</v>
      </c>
      <c r="H205" s="3" t="s">
        <v>14</v>
      </c>
      <c r="I205" s="3">
        <v>3</v>
      </c>
      <c r="J205" s="3">
        <v>166</v>
      </c>
      <c r="K205" s="3">
        <v>498</v>
      </c>
      <c r="L205" s="3" t="s">
        <v>32</v>
      </c>
    </row>
    <row r="206" spans="1:12" x14ac:dyDescent="0.3">
      <c r="A206" s="3" t="s">
        <v>401</v>
      </c>
      <c r="B206" s="3" t="s">
        <v>402</v>
      </c>
      <c r="C206" s="13" t="str">
        <f t="shared" si="3"/>
        <v>February</v>
      </c>
      <c r="D206" s="3" t="s">
        <v>18</v>
      </c>
      <c r="E206" s="14" t="s">
        <v>839</v>
      </c>
      <c r="F206" s="3" t="s">
        <v>41</v>
      </c>
      <c r="G206" s="3" t="s">
        <v>74</v>
      </c>
      <c r="H206" s="3" t="s">
        <v>27</v>
      </c>
      <c r="I206" s="3">
        <v>2</v>
      </c>
      <c r="J206" s="3">
        <v>248</v>
      </c>
      <c r="K206" s="3">
        <v>496</v>
      </c>
      <c r="L206" s="3" t="s">
        <v>15</v>
      </c>
    </row>
    <row r="207" spans="1:12" x14ac:dyDescent="0.3">
      <c r="A207" s="3" t="s">
        <v>403</v>
      </c>
      <c r="B207" s="3" t="s">
        <v>404</v>
      </c>
      <c r="C207" s="13" t="str">
        <f t="shared" si="3"/>
        <v>January</v>
      </c>
      <c r="D207" s="3" t="s">
        <v>24</v>
      </c>
      <c r="E207" s="14" t="s">
        <v>839</v>
      </c>
      <c r="F207" s="3" t="s">
        <v>37</v>
      </c>
      <c r="G207" s="3" t="s">
        <v>79</v>
      </c>
      <c r="H207" s="3" t="s">
        <v>20</v>
      </c>
      <c r="I207" s="3">
        <v>1</v>
      </c>
      <c r="J207" s="3">
        <v>166</v>
      </c>
      <c r="K207" s="3">
        <v>166</v>
      </c>
      <c r="L207" s="3" t="s">
        <v>15</v>
      </c>
    </row>
    <row r="208" spans="1:12" x14ac:dyDescent="0.3">
      <c r="A208" s="3" t="s">
        <v>405</v>
      </c>
      <c r="B208" s="3" t="s">
        <v>276</v>
      </c>
      <c r="C208" s="13" t="str">
        <f t="shared" si="3"/>
        <v>May</v>
      </c>
      <c r="D208" s="3" t="s">
        <v>54</v>
      </c>
      <c r="E208" s="14" t="s">
        <v>839</v>
      </c>
      <c r="F208" s="3" t="s">
        <v>25</v>
      </c>
      <c r="G208" s="3" t="s">
        <v>19</v>
      </c>
      <c r="H208" s="3" t="s">
        <v>20</v>
      </c>
      <c r="I208" s="3">
        <v>1</v>
      </c>
      <c r="J208" s="3">
        <v>146</v>
      </c>
      <c r="K208" s="3">
        <v>146</v>
      </c>
      <c r="L208" s="3" t="s">
        <v>32</v>
      </c>
    </row>
    <row r="209" spans="1:12" x14ac:dyDescent="0.3">
      <c r="A209" s="3" t="s">
        <v>406</v>
      </c>
      <c r="B209" s="3" t="s">
        <v>241</v>
      </c>
      <c r="C209" s="13" t="str">
        <f t="shared" si="3"/>
        <v>November</v>
      </c>
      <c r="D209" s="3" t="s">
        <v>51</v>
      </c>
      <c r="E209" s="14" t="s">
        <v>839</v>
      </c>
      <c r="F209" s="3" t="s">
        <v>30</v>
      </c>
      <c r="G209" s="3" t="s">
        <v>13</v>
      </c>
      <c r="H209" s="3" t="s">
        <v>14</v>
      </c>
      <c r="I209" s="3">
        <v>2</v>
      </c>
      <c r="J209" s="3">
        <v>188</v>
      </c>
      <c r="K209" s="3">
        <v>376</v>
      </c>
      <c r="L209" s="3" t="s">
        <v>32</v>
      </c>
    </row>
    <row r="210" spans="1:12" x14ac:dyDescent="0.3">
      <c r="A210" s="3" t="s">
        <v>407</v>
      </c>
      <c r="B210" s="3" t="s">
        <v>231</v>
      </c>
      <c r="C210" s="13" t="str">
        <f t="shared" si="3"/>
        <v>October</v>
      </c>
      <c r="D210" s="3" t="s">
        <v>54</v>
      </c>
      <c r="E210" s="14" t="s">
        <v>839</v>
      </c>
      <c r="F210" s="3" t="s">
        <v>41</v>
      </c>
      <c r="G210" s="3" t="s">
        <v>57</v>
      </c>
      <c r="H210" s="3" t="s">
        <v>14</v>
      </c>
      <c r="I210" s="3">
        <v>5</v>
      </c>
      <c r="J210" s="3">
        <v>221</v>
      </c>
      <c r="K210" s="3">
        <v>1105</v>
      </c>
      <c r="L210" s="3" t="s">
        <v>15</v>
      </c>
    </row>
    <row r="211" spans="1:12" x14ac:dyDescent="0.3">
      <c r="A211" s="3" t="s">
        <v>408</v>
      </c>
      <c r="B211" s="3" t="s">
        <v>409</v>
      </c>
      <c r="C211" s="13" t="str">
        <f t="shared" si="3"/>
        <v>October</v>
      </c>
      <c r="D211" s="3" t="s">
        <v>24</v>
      </c>
      <c r="E211" s="14" t="s">
        <v>839</v>
      </c>
      <c r="F211" s="3" t="s">
        <v>25</v>
      </c>
      <c r="G211" s="3" t="s">
        <v>57</v>
      </c>
      <c r="H211" s="3" t="s">
        <v>14</v>
      </c>
      <c r="I211" s="3">
        <v>5</v>
      </c>
      <c r="J211" s="3">
        <v>193</v>
      </c>
      <c r="K211" s="3">
        <v>965</v>
      </c>
      <c r="L211" s="3" t="s">
        <v>38</v>
      </c>
    </row>
    <row r="212" spans="1:12" x14ac:dyDescent="0.3">
      <c r="A212" s="3" t="s">
        <v>410</v>
      </c>
      <c r="B212" s="3" t="s">
        <v>231</v>
      </c>
      <c r="C212" s="13" t="str">
        <f t="shared" si="3"/>
        <v>October</v>
      </c>
      <c r="D212" s="3" t="s">
        <v>51</v>
      </c>
      <c r="E212" s="14" t="s">
        <v>839</v>
      </c>
      <c r="F212" s="3" t="s">
        <v>30</v>
      </c>
      <c r="G212" s="3" t="s">
        <v>66</v>
      </c>
      <c r="H212" s="3" t="s">
        <v>43</v>
      </c>
      <c r="I212" s="3">
        <v>2</v>
      </c>
      <c r="J212" s="3">
        <v>125</v>
      </c>
      <c r="K212" s="3">
        <v>250</v>
      </c>
      <c r="L212" s="3" t="s">
        <v>21</v>
      </c>
    </row>
    <row r="213" spans="1:12" x14ac:dyDescent="0.3">
      <c r="A213" s="3" t="s">
        <v>411</v>
      </c>
      <c r="B213" s="3" t="s">
        <v>147</v>
      </c>
      <c r="C213" s="13" t="str">
        <f t="shared" si="3"/>
        <v>February</v>
      </c>
      <c r="D213" s="3" t="s">
        <v>11</v>
      </c>
      <c r="E213" s="14" t="s">
        <v>839</v>
      </c>
      <c r="F213" s="3" t="s">
        <v>37</v>
      </c>
      <c r="G213" s="3" t="s">
        <v>26</v>
      </c>
      <c r="H213" s="3" t="s">
        <v>27</v>
      </c>
      <c r="I213" s="3">
        <v>5</v>
      </c>
      <c r="J213" s="3">
        <v>163</v>
      </c>
      <c r="K213" s="3">
        <v>815</v>
      </c>
      <c r="L213" s="3" t="s">
        <v>32</v>
      </c>
    </row>
    <row r="214" spans="1:12" x14ac:dyDescent="0.3">
      <c r="A214" s="3" t="s">
        <v>412</v>
      </c>
      <c r="B214" s="3" t="s">
        <v>284</v>
      </c>
      <c r="C214" s="13" t="str">
        <f t="shared" si="3"/>
        <v>May</v>
      </c>
      <c r="D214" s="3" t="s">
        <v>840</v>
      </c>
      <c r="E214" s="14" t="s">
        <v>839</v>
      </c>
      <c r="F214" s="3" t="s">
        <v>12</v>
      </c>
      <c r="G214" s="3" t="s">
        <v>79</v>
      </c>
      <c r="H214" s="3" t="s">
        <v>20</v>
      </c>
      <c r="I214" s="3">
        <v>1</v>
      </c>
      <c r="J214" s="3">
        <v>146</v>
      </c>
      <c r="K214" s="3">
        <v>146</v>
      </c>
      <c r="L214" s="3" t="s">
        <v>15</v>
      </c>
    </row>
    <row r="215" spans="1:12" x14ac:dyDescent="0.3">
      <c r="A215" s="3" t="s">
        <v>413</v>
      </c>
      <c r="B215" s="3" t="s">
        <v>398</v>
      </c>
      <c r="C215" s="13" t="str">
        <f t="shared" si="3"/>
        <v>June</v>
      </c>
      <c r="D215" s="3" t="s">
        <v>840</v>
      </c>
      <c r="E215" s="14" t="s">
        <v>839</v>
      </c>
      <c r="F215" s="3" t="s">
        <v>37</v>
      </c>
      <c r="G215" s="3" t="s">
        <v>57</v>
      </c>
      <c r="H215" s="3" t="s">
        <v>14</v>
      </c>
      <c r="I215" s="3">
        <v>3</v>
      </c>
      <c r="J215" s="3">
        <v>193</v>
      </c>
      <c r="K215" s="3">
        <v>579</v>
      </c>
      <c r="L215" s="3" t="s">
        <v>15</v>
      </c>
    </row>
    <row r="216" spans="1:12" x14ac:dyDescent="0.3">
      <c r="A216" s="3" t="s">
        <v>414</v>
      </c>
      <c r="B216" s="3" t="s">
        <v>415</v>
      </c>
      <c r="C216" s="13" t="str">
        <f t="shared" si="3"/>
        <v>June</v>
      </c>
      <c r="D216" s="3" t="s">
        <v>18</v>
      </c>
      <c r="E216" s="14" t="s">
        <v>839</v>
      </c>
      <c r="F216" s="3" t="s">
        <v>25</v>
      </c>
      <c r="G216" s="3" t="s">
        <v>26</v>
      </c>
      <c r="H216" s="3" t="s">
        <v>27</v>
      </c>
      <c r="I216" s="3">
        <v>4</v>
      </c>
      <c r="J216" s="3">
        <v>163</v>
      </c>
      <c r="K216" s="3">
        <v>652</v>
      </c>
      <c r="L216" s="3" t="s">
        <v>38</v>
      </c>
    </row>
    <row r="217" spans="1:12" x14ac:dyDescent="0.3">
      <c r="A217" s="3" t="s">
        <v>416</v>
      </c>
      <c r="B217" s="3" t="s">
        <v>417</v>
      </c>
      <c r="C217" s="13" t="str">
        <f t="shared" si="3"/>
        <v>February</v>
      </c>
      <c r="D217" s="3" t="s">
        <v>51</v>
      </c>
      <c r="E217" s="14" t="s">
        <v>839</v>
      </c>
      <c r="F217" s="3" t="s">
        <v>12</v>
      </c>
      <c r="G217" s="3" t="s">
        <v>74</v>
      </c>
      <c r="H217" s="3" t="s">
        <v>27</v>
      </c>
      <c r="I217" s="3">
        <v>5</v>
      </c>
      <c r="J217" s="3">
        <v>231</v>
      </c>
      <c r="K217" s="3">
        <v>1155</v>
      </c>
      <c r="L217" s="3" t="s">
        <v>15</v>
      </c>
    </row>
    <row r="218" spans="1:12" x14ac:dyDescent="0.3">
      <c r="A218" s="3" t="s">
        <v>418</v>
      </c>
      <c r="B218" s="3" t="s">
        <v>419</v>
      </c>
      <c r="C218" s="13" t="str">
        <f t="shared" si="3"/>
        <v>May</v>
      </c>
      <c r="D218" s="3" t="s">
        <v>18</v>
      </c>
      <c r="E218" s="14" t="s">
        <v>839</v>
      </c>
      <c r="F218" s="3" t="s">
        <v>12</v>
      </c>
      <c r="G218" s="3" t="s">
        <v>42</v>
      </c>
      <c r="H218" s="3" t="s">
        <v>43</v>
      </c>
      <c r="I218" s="3">
        <v>2</v>
      </c>
      <c r="J218" s="3">
        <v>238</v>
      </c>
      <c r="K218" s="3">
        <v>476</v>
      </c>
      <c r="L218" s="3" t="s">
        <v>38</v>
      </c>
    </row>
    <row r="219" spans="1:12" x14ac:dyDescent="0.3">
      <c r="A219" s="3" t="s">
        <v>420</v>
      </c>
      <c r="B219" s="3" t="s">
        <v>270</v>
      </c>
      <c r="C219" s="13" t="str">
        <f t="shared" si="3"/>
        <v>August</v>
      </c>
      <c r="D219" s="3" t="s">
        <v>18</v>
      </c>
      <c r="E219" s="14" t="s">
        <v>839</v>
      </c>
      <c r="F219" s="3" t="s">
        <v>25</v>
      </c>
      <c r="G219" s="3" t="s">
        <v>19</v>
      </c>
      <c r="H219" s="3" t="s">
        <v>20</v>
      </c>
      <c r="I219" s="3">
        <v>3</v>
      </c>
      <c r="J219" s="3">
        <v>126</v>
      </c>
      <c r="K219" s="3">
        <v>378</v>
      </c>
      <c r="L219" s="3" t="s">
        <v>32</v>
      </c>
    </row>
    <row r="220" spans="1:12" x14ac:dyDescent="0.3">
      <c r="A220" s="3" t="s">
        <v>421</v>
      </c>
      <c r="B220" s="3" t="s">
        <v>422</v>
      </c>
      <c r="C220" s="13" t="str">
        <f t="shared" si="3"/>
        <v>September</v>
      </c>
      <c r="D220" s="3" t="s">
        <v>54</v>
      </c>
      <c r="E220" s="14" t="s">
        <v>839</v>
      </c>
      <c r="F220" s="3" t="s">
        <v>41</v>
      </c>
      <c r="G220" s="3" t="s">
        <v>66</v>
      </c>
      <c r="H220" s="3" t="s">
        <v>43</v>
      </c>
      <c r="I220" s="3">
        <v>2</v>
      </c>
      <c r="J220" s="3">
        <v>119</v>
      </c>
      <c r="K220" s="3">
        <v>238</v>
      </c>
      <c r="L220" s="3" t="s">
        <v>15</v>
      </c>
    </row>
    <row r="221" spans="1:12" x14ac:dyDescent="0.3">
      <c r="A221" s="3" t="s">
        <v>423</v>
      </c>
      <c r="B221" s="3" t="s">
        <v>424</v>
      </c>
      <c r="C221" s="13" t="str">
        <f t="shared" si="3"/>
        <v>November</v>
      </c>
      <c r="D221" s="3" t="s">
        <v>51</v>
      </c>
      <c r="E221" s="14" t="s">
        <v>839</v>
      </c>
      <c r="F221" s="3" t="s">
        <v>25</v>
      </c>
      <c r="G221" s="3" t="s">
        <v>57</v>
      </c>
      <c r="H221" s="3" t="s">
        <v>14</v>
      </c>
      <c r="I221" s="3">
        <v>1</v>
      </c>
      <c r="J221" s="3">
        <v>191</v>
      </c>
      <c r="K221" s="3">
        <v>191</v>
      </c>
      <c r="L221" s="3" t="s">
        <v>32</v>
      </c>
    </row>
    <row r="222" spans="1:12" x14ac:dyDescent="0.3">
      <c r="A222" s="3" t="s">
        <v>425</v>
      </c>
      <c r="B222" s="3" t="s">
        <v>270</v>
      </c>
      <c r="C222" s="13" t="str">
        <f t="shared" si="3"/>
        <v>August</v>
      </c>
      <c r="D222" s="3" t="s">
        <v>46</v>
      </c>
      <c r="E222" s="14" t="s">
        <v>839</v>
      </c>
      <c r="F222" s="3" t="s">
        <v>25</v>
      </c>
      <c r="G222" s="3" t="s">
        <v>19</v>
      </c>
      <c r="H222" s="3" t="s">
        <v>20</v>
      </c>
      <c r="I222" s="3">
        <v>3</v>
      </c>
      <c r="J222" s="3">
        <v>147</v>
      </c>
      <c r="K222" s="3">
        <v>441</v>
      </c>
      <c r="L222" s="3" t="s">
        <v>21</v>
      </c>
    </row>
    <row r="223" spans="1:12" x14ac:dyDescent="0.3">
      <c r="A223" s="3" t="s">
        <v>426</v>
      </c>
      <c r="B223" s="3" t="s">
        <v>427</v>
      </c>
      <c r="C223" s="13" t="str">
        <f t="shared" si="3"/>
        <v>May</v>
      </c>
      <c r="D223" s="3" t="s">
        <v>11</v>
      </c>
      <c r="E223" s="14" t="s">
        <v>839</v>
      </c>
      <c r="F223" s="3" t="s">
        <v>41</v>
      </c>
      <c r="G223" s="3" t="s">
        <v>26</v>
      </c>
      <c r="H223" s="3" t="s">
        <v>27</v>
      </c>
      <c r="I223" s="3">
        <v>4</v>
      </c>
      <c r="J223" s="3">
        <v>178</v>
      </c>
      <c r="K223" s="3">
        <v>712</v>
      </c>
      <c r="L223" s="3" t="s">
        <v>32</v>
      </c>
    </row>
    <row r="224" spans="1:12" x14ac:dyDescent="0.3">
      <c r="A224" s="3" t="s">
        <v>428</v>
      </c>
      <c r="B224" s="3" t="s">
        <v>48</v>
      </c>
      <c r="C224" s="13" t="str">
        <f t="shared" si="3"/>
        <v>August</v>
      </c>
      <c r="D224" s="3" t="s">
        <v>46</v>
      </c>
      <c r="E224" s="14" t="s">
        <v>839</v>
      </c>
      <c r="F224" s="3" t="s">
        <v>41</v>
      </c>
      <c r="G224" s="3" t="s">
        <v>74</v>
      </c>
      <c r="H224" s="3" t="s">
        <v>27</v>
      </c>
      <c r="I224" s="3">
        <v>3</v>
      </c>
      <c r="J224" s="3">
        <v>255</v>
      </c>
      <c r="K224" s="3">
        <v>765</v>
      </c>
      <c r="L224" s="3" t="s">
        <v>38</v>
      </c>
    </row>
    <row r="225" spans="1:12" x14ac:dyDescent="0.3">
      <c r="A225" s="3" t="s">
        <v>429</v>
      </c>
      <c r="B225" s="3" t="s">
        <v>131</v>
      </c>
      <c r="C225" s="13" t="str">
        <f t="shared" si="3"/>
        <v>June</v>
      </c>
      <c r="D225" s="3" t="s">
        <v>24</v>
      </c>
      <c r="E225" s="14" t="s">
        <v>839</v>
      </c>
      <c r="F225" s="3" t="s">
        <v>30</v>
      </c>
      <c r="G225" s="3" t="s">
        <v>42</v>
      </c>
      <c r="H225" s="3" t="s">
        <v>43</v>
      </c>
      <c r="I225" s="3">
        <v>3</v>
      </c>
      <c r="J225" s="3">
        <v>231</v>
      </c>
      <c r="K225" s="3">
        <v>693</v>
      </c>
      <c r="L225" s="3" t="s">
        <v>38</v>
      </c>
    </row>
    <row r="226" spans="1:12" x14ac:dyDescent="0.3">
      <c r="A226" s="3" t="s">
        <v>430</v>
      </c>
      <c r="B226" s="3" t="s">
        <v>101</v>
      </c>
      <c r="C226" s="13" t="str">
        <f t="shared" si="3"/>
        <v>May</v>
      </c>
      <c r="D226" s="3" t="s">
        <v>46</v>
      </c>
      <c r="E226" s="14" t="s">
        <v>839</v>
      </c>
      <c r="F226" s="3" t="s">
        <v>12</v>
      </c>
      <c r="G226" s="3" t="s">
        <v>26</v>
      </c>
      <c r="H226" s="3" t="s">
        <v>27</v>
      </c>
      <c r="I226" s="3">
        <v>4</v>
      </c>
      <c r="J226" s="3">
        <v>150</v>
      </c>
      <c r="K226" s="3">
        <v>600</v>
      </c>
      <c r="L226" s="3" t="s">
        <v>32</v>
      </c>
    </row>
    <row r="227" spans="1:12" x14ac:dyDescent="0.3">
      <c r="A227" s="3" t="s">
        <v>431</v>
      </c>
      <c r="B227" s="3" t="s">
        <v>36</v>
      </c>
      <c r="C227" s="13" t="str">
        <f t="shared" si="3"/>
        <v>July</v>
      </c>
      <c r="D227" s="3" t="s">
        <v>24</v>
      </c>
      <c r="E227" s="14" t="s">
        <v>839</v>
      </c>
      <c r="F227" s="3" t="s">
        <v>30</v>
      </c>
      <c r="G227" s="3" t="s">
        <v>79</v>
      </c>
      <c r="H227" s="3" t="s">
        <v>20</v>
      </c>
      <c r="I227" s="3">
        <v>2</v>
      </c>
      <c r="J227" s="3">
        <v>154</v>
      </c>
      <c r="K227" s="3">
        <v>308</v>
      </c>
      <c r="L227" s="3" t="s">
        <v>21</v>
      </c>
    </row>
    <row r="228" spans="1:12" x14ac:dyDescent="0.3">
      <c r="A228" s="3" t="s">
        <v>432</v>
      </c>
      <c r="B228" s="3" t="s">
        <v>433</v>
      </c>
      <c r="C228" s="13" t="str">
        <f t="shared" si="3"/>
        <v>February</v>
      </c>
      <c r="D228" s="3" t="s">
        <v>24</v>
      </c>
      <c r="E228" s="14" t="s">
        <v>839</v>
      </c>
      <c r="F228" s="3" t="s">
        <v>41</v>
      </c>
      <c r="G228" s="3" t="s">
        <v>79</v>
      </c>
      <c r="H228" s="3" t="s">
        <v>20</v>
      </c>
      <c r="I228" s="3">
        <v>2</v>
      </c>
      <c r="J228" s="3">
        <v>144</v>
      </c>
      <c r="K228" s="3">
        <v>288</v>
      </c>
      <c r="L228" s="3" t="s">
        <v>32</v>
      </c>
    </row>
    <row r="229" spans="1:12" x14ac:dyDescent="0.3">
      <c r="A229" s="3" t="s">
        <v>434</v>
      </c>
      <c r="B229" s="3" t="s">
        <v>435</v>
      </c>
      <c r="C229" s="13" t="str">
        <f t="shared" si="3"/>
        <v>March</v>
      </c>
      <c r="D229" s="3" t="s">
        <v>11</v>
      </c>
      <c r="E229" s="14" t="s">
        <v>839</v>
      </c>
      <c r="F229" s="3" t="s">
        <v>12</v>
      </c>
      <c r="G229" s="3" t="s">
        <v>69</v>
      </c>
      <c r="H229" s="3" t="s">
        <v>14</v>
      </c>
      <c r="I229" s="3">
        <v>4</v>
      </c>
      <c r="J229" s="3">
        <v>131</v>
      </c>
      <c r="K229" s="3">
        <v>524</v>
      </c>
      <c r="L229" s="3" t="s">
        <v>32</v>
      </c>
    </row>
    <row r="230" spans="1:12" x14ac:dyDescent="0.3">
      <c r="A230" s="3" t="s">
        <v>436</v>
      </c>
      <c r="B230" s="3" t="s">
        <v>437</v>
      </c>
      <c r="C230" s="13" t="str">
        <f t="shared" si="3"/>
        <v>October</v>
      </c>
      <c r="D230" s="3" t="s">
        <v>18</v>
      </c>
      <c r="E230" s="14" t="s">
        <v>839</v>
      </c>
      <c r="F230" s="3" t="s">
        <v>41</v>
      </c>
      <c r="G230" s="3" t="s">
        <v>31</v>
      </c>
      <c r="H230" s="3" t="s">
        <v>14</v>
      </c>
      <c r="I230" s="3">
        <v>2</v>
      </c>
      <c r="J230" s="3">
        <v>191</v>
      </c>
      <c r="K230" s="3">
        <v>382</v>
      </c>
      <c r="L230" s="3" t="s">
        <v>38</v>
      </c>
    </row>
    <row r="231" spans="1:12" x14ac:dyDescent="0.3">
      <c r="A231" s="3" t="s">
        <v>438</v>
      </c>
      <c r="B231" s="3" t="s">
        <v>248</v>
      </c>
      <c r="C231" s="13" t="str">
        <f t="shared" si="3"/>
        <v>January</v>
      </c>
      <c r="D231" s="3" t="s">
        <v>11</v>
      </c>
      <c r="E231" s="14" t="s">
        <v>839</v>
      </c>
      <c r="F231" s="3" t="s">
        <v>30</v>
      </c>
      <c r="G231" s="3" t="s">
        <v>13</v>
      </c>
      <c r="H231" s="3" t="s">
        <v>14</v>
      </c>
      <c r="I231" s="3">
        <v>5</v>
      </c>
      <c r="J231" s="3">
        <v>200</v>
      </c>
      <c r="K231" s="3">
        <v>1000</v>
      </c>
      <c r="L231" s="3" t="s">
        <v>38</v>
      </c>
    </row>
    <row r="232" spans="1:12" x14ac:dyDescent="0.3">
      <c r="A232" s="3" t="s">
        <v>439</v>
      </c>
      <c r="B232" s="3" t="s">
        <v>85</v>
      </c>
      <c r="C232" s="13" t="str">
        <f t="shared" si="3"/>
        <v>June</v>
      </c>
      <c r="D232" s="3" t="s">
        <v>46</v>
      </c>
      <c r="E232" s="14" t="s">
        <v>839</v>
      </c>
      <c r="F232" s="3" t="s">
        <v>37</v>
      </c>
      <c r="G232" s="3" t="s">
        <v>69</v>
      </c>
      <c r="H232" s="3" t="s">
        <v>14</v>
      </c>
      <c r="I232" s="3">
        <v>4</v>
      </c>
      <c r="J232" s="3">
        <v>158</v>
      </c>
      <c r="K232" s="3">
        <v>632</v>
      </c>
      <c r="L232" s="3" t="s">
        <v>38</v>
      </c>
    </row>
    <row r="233" spans="1:12" x14ac:dyDescent="0.3">
      <c r="A233" s="3" t="s">
        <v>440</v>
      </c>
      <c r="B233" s="3" t="s">
        <v>161</v>
      </c>
      <c r="C233" s="13" t="str">
        <f t="shared" si="3"/>
        <v>March</v>
      </c>
      <c r="D233" s="3" t="s">
        <v>51</v>
      </c>
      <c r="E233" s="14" t="s">
        <v>839</v>
      </c>
      <c r="F233" s="3" t="s">
        <v>25</v>
      </c>
      <c r="G233" s="3" t="s">
        <v>26</v>
      </c>
      <c r="H233" s="3" t="s">
        <v>27</v>
      </c>
      <c r="I233" s="3">
        <v>3</v>
      </c>
      <c r="J233" s="3">
        <v>188</v>
      </c>
      <c r="K233" s="3">
        <v>564</v>
      </c>
      <c r="L233" s="3" t="s">
        <v>15</v>
      </c>
    </row>
    <row r="234" spans="1:12" x14ac:dyDescent="0.3">
      <c r="A234" s="3" t="s">
        <v>441</v>
      </c>
      <c r="B234" s="3" t="s">
        <v>442</v>
      </c>
      <c r="C234" s="13" t="str">
        <f t="shared" si="3"/>
        <v>August</v>
      </c>
      <c r="D234" s="3" t="s">
        <v>840</v>
      </c>
      <c r="E234" s="14" t="s">
        <v>839</v>
      </c>
      <c r="F234" s="3" t="s">
        <v>12</v>
      </c>
      <c r="G234" s="3" t="s">
        <v>66</v>
      </c>
      <c r="H234" s="3" t="s">
        <v>43</v>
      </c>
      <c r="I234" s="3">
        <v>5</v>
      </c>
      <c r="J234" s="3">
        <v>107</v>
      </c>
      <c r="K234" s="3">
        <v>535</v>
      </c>
      <c r="L234" s="3" t="s">
        <v>32</v>
      </c>
    </row>
    <row r="235" spans="1:12" x14ac:dyDescent="0.3">
      <c r="A235" s="3" t="s">
        <v>443</v>
      </c>
      <c r="B235" s="3" t="s">
        <v>444</v>
      </c>
      <c r="C235" s="13" t="str">
        <f t="shared" si="3"/>
        <v>July</v>
      </c>
      <c r="D235" s="3" t="s">
        <v>18</v>
      </c>
      <c r="E235" s="14" t="s">
        <v>839</v>
      </c>
      <c r="F235" s="3" t="s">
        <v>41</v>
      </c>
      <c r="G235" s="3" t="s">
        <v>26</v>
      </c>
      <c r="H235" s="3" t="s">
        <v>27</v>
      </c>
      <c r="I235" s="3">
        <v>2</v>
      </c>
      <c r="J235" s="3">
        <v>151</v>
      </c>
      <c r="K235" s="3">
        <v>302</v>
      </c>
      <c r="L235" s="3" t="s">
        <v>38</v>
      </c>
    </row>
    <row r="236" spans="1:12" x14ac:dyDescent="0.3">
      <c r="A236" s="3" t="s">
        <v>445</v>
      </c>
      <c r="B236" s="3" t="s">
        <v>34</v>
      </c>
      <c r="C236" s="13" t="str">
        <f t="shared" si="3"/>
        <v>March</v>
      </c>
      <c r="D236" s="3" t="s">
        <v>24</v>
      </c>
      <c r="E236" s="14" t="s">
        <v>839</v>
      </c>
      <c r="F236" s="3" t="s">
        <v>37</v>
      </c>
      <c r="G236" s="3" t="s">
        <v>79</v>
      </c>
      <c r="H236" s="3" t="s">
        <v>20</v>
      </c>
      <c r="I236" s="3">
        <v>1</v>
      </c>
      <c r="J236" s="3">
        <v>176</v>
      </c>
      <c r="K236" s="3">
        <v>176</v>
      </c>
      <c r="L236" s="3" t="s">
        <v>21</v>
      </c>
    </row>
    <row r="237" spans="1:12" x14ac:dyDescent="0.3">
      <c r="A237" s="3" t="s">
        <v>446</v>
      </c>
      <c r="B237" s="3" t="s">
        <v>174</v>
      </c>
      <c r="C237" s="13" t="str">
        <f t="shared" si="3"/>
        <v>October</v>
      </c>
      <c r="D237" s="3" t="s">
        <v>51</v>
      </c>
      <c r="E237" s="14" t="s">
        <v>839</v>
      </c>
      <c r="F237" s="3" t="s">
        <v>12</v>
      </c>
      <c r="G237" s="3" t="s">
        <v>66</v>
      </c>
      <c r="H237" s="3" t="s">
        <v>43</v>
      </c>
      <c r="I237" s="3">
        <v>2</v>
      </c>
      <c r="J237" s="3">
        <v>107</v>
      </c>
      <c r="K237" s="3">
        <v>214</v>
      </c>
      <c r="L237" s="3" t="s">
        <v>21</v>
      </c>
    </row>
    <row r="238" spans="1:12" x14ac:dyDescent="0.3">
      <c r="A238" s="3" t="s">
        <v>447</v>
      </c>
      <c r="B238" s="3" t="s">
        <v>448</v>
      </c>
      <c r="C238" s="13" t="str">
        <f t="shared" si="3"/>
        <v>October</v>
      </c>
      <c r="D238" s="3" t="s">
        <v>54</v>
      </c>
      <c r="E238" s="14" t="s">
        <v>839</v>
      </c>
      <c r="F238" s="3" t="s">
        <v>37</v>
      </c>
      <c r="G238" s="3" t="s">
        <v>31</v>
      </c>
      <c r="H238" s="3" t="s">
        <v>14</v>
      </c>
      <c r="I238" s="3">
        <v>5</v>
      </c>
      <c r="J238" s="3">
        <v>215</v>
      </c>
      <c r="K238" s="3">
        <v>1075</v>
      </c>
      <c r="L238" s="3" t="s">
        <v>38</v>
      </c>
    </row>
    <row r="239" spans="1:12" x14ac:dyDescent="0.3">
      <c r="A239" s="3" t="s">
        <v>449</v>
      </c>
      <c r="B239" s="3" t="s">
        <v>450</v>
      </c>
      <c r="C239" s="13" t="str">
        <f t="shared" si="3"/>
        <v>December</v>
      </c>
      <c r="D239" s="3" t="s">
        <v>46</v>
      </c>
      <c r="E239" s="14" t="s">
        <v>839</v>
      </c>
      <c r="F239" s="3" t="s">
        <v>30</v>
      </c>
      <c r="G239" s="3" t="s">
        <v>42</v>
      </c>
      <c r="H239" s="3" t="s">
        <v>43</v>
      </c>
      <c r="I239" s="3">
        <v>1</v>
      </c>
      <c r="J239" s="3">
        <v>209</v>
      </c>
      <c r="K239" s="3">
        <v>209</v>
      </c>
      <c r="L239" s="3" t="s">
        <v>15</v>
      </c>
    </row>
    <row r="240" spans="1:12" x14ac:dyDescent="0.3">
      <c r="A240" s="3" t="s">
        <v>451</v>
      </c>
      <c r="B240" s="3" t="s">
        <v>452</v>
      </c>
      <c r="C240" s="13" t="str">
        <f t="shared" si="3"/>
        <v>October</v>
      </c>
      <c r="D240" s="3" t="s">
        <v>51</v>
      </c>
      <c r="E240" s="14" t="s">
        <v>839</v>
      </c>
      <c r="F240" s="3" t="s">
        <v>12</v>
      </c>
      <c r="G240" s="3" t="s">
        <v>69</v>
      </c>
      <c r="H240" s="3" t="s">
        <v>14</v>
      </c>
      <c r="I240" s="3">
        <v>3</v>
      </c>
      <c r="J240" s="3">
        <v>158</v>
      </c>
      <c r="K240" s="3">
        <v>474</v>
      </c>
      <c r="L240" s="3" t="s">
        <v>38</v>
      </c>
    </row>
    <row r="241" spans="1:12" x14ac:dyDescent="0.3">
      <c r="A241" s="3" t="s">
        <v>453</v>
      </c>
      <c r="B241" s="3" t="s">
        <v>454</v>
      </c>
      <c r="C241" s="13" t="str">
        <f t="shared" si="3"/>
        <v>September</v>
      </c>
      <c r="D241" s="3" t="s">
        <v>51</v>
      </c>
      <c r="E241" s="14" t="s">
        <v>839</v>
      </c>
      <c r="F241" s="3" t="s">
        <v>12</v>
      </c>
      <c r="G241" s="3" t="s">
        <v>57</v>
      </c>
      <c r="H241" s="3" t="s">
        <v>14</v>
      </c>
      <c r="I241" s="3">
        <v>5</v>
      </c>
      <c r="J241" s="3">
        <v>222</v>
      </c>
      <c r="K241" s="3">
        <v>1110</v>
      </c>
      <c r="L241" s="3" t="s">
        <v>38</v>
      </c>
    </row>
    <row r="242" spans="1:12" x14ac:dyDescent="0.3">
      <c r="A242" s="3" t="s">
        <v>455</v>
      </c>
      <c r="B242" s="3" t="s">
        <v>233</v>
      </c>
      <c r="C242" s="13" t="str">
        <f t="shared" si="3"/>
        <v>May</v>
      </c>
      <c r="D242" s="3" t="s">
        <v>11</v>
      </c>
      <c r="E242" s="14" t="s">
        <v>839</v>
      </c>
      <c r="F242" s="3" t="s">
        <v>30</v>
      </c>
      <c r="G242" s="3" t="s">
        <v>31</v>
      </c>
      <c r="H242" s="3" t="s">
        <v>14</v>
      </c>
      <c r="I242" s="3">
        <v>5</v>
      </c>
      <c r="J242" s="3">
        <v>215</v>
      </c>
      <c r="K242" s="3">
        <v>1075</v>
      </c>
      <c r="L242" s="3" t="s">
        <v>21</v>
      </c>
    </row>
    <row r="243" spans="1:12" x14ac:dyDescent="0.3">
      <c r="A243" s="3" t="s">
        <v>456</v>
      </c>
      <c r="B243" s="3" t="s">
        <v>457</v>
      </c>
      <c r="C243" s="13" t="str">
        <f t="shared" si="3"/>
        <v>January</v>
      </c>
      <c r="D243" s="3" t="s">
        <v>24</v>
      </c>
      <c r="E243" s="14" t="s">
        <v>839</v>
      </c>
      <c r="F243" s="3" t="s">
        <v>41</v>
      </c>
      <c r="G243" s="3" t="s">
        <v>74</v>
      </c>
      <c r="H243" s="3" t="s">
        <v>27</v>
      </c>
      <c r="I243" s="3">
        <v>3</v>
      </c>
      <c r="J243" s="3">
        <v>237</v>
      </c>
      <c r="K243" s="3">
        <v>711</v>
      </c>
      <c r="L243" s="3" t="s">
        <v>21</v>
      </c>
    </row>
    <row r="244" spans="1:12" x14ac:dyDescent="0.3">
      <c r="A244" s="3" t="s">
        <v>458</v>
      </c>
      <c r="B244" s="3" t="s">
        <v>170</v>
      </c>
      <c r="C244" s="13" t="str">
        <f t="shared" si="3"/>
        <v>November</v>
      </c>
      <c r="D244" s="3" t="s">
        <v>24</v>
      </c>
      <c r="E244" s="14" t="s">
        <v>839</v>
      </c>
      <c r="F244" s="3" t="s">
        <v>41</v>
      </c>
      <c r="G244" s="3" t="s">
        <v>19</v>
      </c>
      <c r="H244" s="3" t="s">
        <v>20</v>
      </c>
      <c r="I244" s="3">
        <v>4</v>
      </c>
      <c r="J244" s="3">
        <v>122</v>
      </c>
      <c r="K244" s="3">
        <v>488</v>
      </c>
      <c r="L244" s="3" t="s">
        <v>21</v>
      </c>
    </row>
    <row r="245" spans="1:12" x14ac:dyDescent="0.3">
      <c r="A245" s="3" t="s">
        <v>459</v>
      </c>
      <c r="B245" s="3" t="s">
        <v>61</v>
      </c>
      <c r="C245" s="13" t="str">
        <f t="shared" si="3"/>
        <v>October</v>
      </c>
      <c r="D245" s="3" t="s">
        <v>46</v>
      </c>
      <c r="E245" s="14" t="s">
        <v>839</v>
      </c>
      <c r="F245" s="3" t="s">
        <v>41</v>
      </c>
      <c r="G245" s="3" t="s">
        <v>26</v>
      </c>
      <c r="H245" s="3" t="s">
        <v>27</v>
      </c>
      <c r="I245" s="3">
        <v>2</v>
      </c>
      <c r="J245" s="3">
        <v>169</v>
      </c>
      <c r="K245" s="3">
        <v>338</v>
      </c>
      <c r="L245" s="3" t="s">
        <v>21</v>
      </c>
    </row>
    <row r="246" spans="1:12" x14ac:dyDescent="0.3">
      <c r="A246" s="3" t="s">
        <v>460</v>
      </c>
      <c r="B246" s="3" t="s">
        <v>461</v>
      </c>
      <c r="C246" s="13" t="str">
        <f t="shared" si="3"/>
        <v>June</v>
      </c>
      <c r="D246" s="3" t="s">
        <v>11</v>
      </c>
      <c r="E246" s="14" t="s">
        <v>839</v>
      </c>
      <c r="F246" s="3" t="s">
        <v>30</v>
      </c>
      <c r="G246" s="3" t="s">
        <v>42</v>
      </c>
      <c r="H246" s="3" t="s">
        <v>43</v>
      </c>
      <c r="I246" s="3">
        <v>1</v>
      </c>
      <c r="J246" s="3">
        <v>216</v>
      </c>
      <c r="K246" s="3">
        <v>216</v>
      </c>
      <c r="L246" s="3" t="s">
        <v>38</v>
      </c>
    </row>
    <row r="247" spans="1:12" x14ac:dyDescent="0.3">
      <c r="A247" s="3" t="s">
        <v>462</v>
      </c>
      <c r="B247" s="3" t="s">
        <v>463</v>
      </c>
      <c r="C247" s="13" t="str">
        <f t="shared" si="3"/>
        <v>December</v>
      </c>
      <c r="D247" s="3" t="s">
        <v>11</v>
      </c>
      <c r="E247" s="14" t="s">
        <v>839</v>
      </c>
      <c r="F247" s="3" t="s">
        <v>25</v>
      </c>
      <c r="G247" s="3" t="s">
        <v>42</v>
      </c>
      <c r="H247" s="3" t="s">
        <v>43</v>
      </c>
      <c r="I247" s="3">
        <v>5</v>
      </c>
      <c r="J247" s="3">
        <v>218</v>
      </c>
      <c r="K247" s="3">
        <v>1090</v>
      </c>
      <c r="L247" s="3" t="s">
        <v>21</v>
      </c>
    </row>
    <row r="248" spans="1:12" x14ac:dyDescent="0.3">
      <c r="A248" s="3" t="s">
        <v>464</v>
      </c>
      <c r="B248" s="3" t="s">
        <v>465</v>
      </c>
      <c r="C248" s="13" t="str">
        <f t="shared" si="3"/>
        <v>July</v>
      </c>
      <c r="D248" s="3" t="s">
        <v>18</v>
      </c>
      <c r="E248" s="14" t="s">
        <v>839</v>
      </c>
      <c r="F248" s="3" t="s">
        <v>37</v>
      </c>
      <c r="G248" s="3" t="s">
        <v>79</v>
      </c>
      <c r="H248" s="3" t="s">
        <v>20</v>
      </c>
      <c r="I248" s="3">
        <v>5</v>
      </c>
      <c r="J248" s="3">
        <v>148</v>
      </c>
      <c r="K248" s="3">
        <v>740</v>
      </c>
      <c r="L248" s="3" t="s">
        <v>21</v>
      </c>
    </row>
    <row r="249" spans="1:12" x14ac:dyDescent="0.3">
      <c r="A249" s="3" t="s">
        <v>466</v>
      </c>
      <c r="B249" s="3" t="s">
        <v>450</v>
      </c>
      <c r="C249" s="13" t="str">
        <f t="shared" si="3"/>
        <v>December</v>
      </c>
      <c r="D249" s="3" t="s">
        <v>46</v>
      </c>
      <c r="E249" s="14" t="s">
        <v>839</v>
      </c>
      <c r="F249" s="3" t="s">
        <v>25</v>
      </c>
      <c r="G249" s="3" t="s">
        <v>79</v>
      </c>
      <c r="H249" s="3" t="s">
        <v>20</v>
      </c>
      <c r="I249" s="3">
        <v>2</v>
      </c>
      <c r="J249" s="3">
        <v>145</v>
      </c>
      <c r="K249" s="3">
        <v>290</v>
      </c>
      <c r="L249" s="3" t="s">
        <v>21</v>
      </c>
    </row>
    <row r="250" spans="1:12" x14ac:dyDescent="0.3">
      <c r="A250" s="3" t="s">
        <v>467</v>
      </c>
      <c r="B250" s="3" t="s">
        <v>468</v>
      </c>
      <c r="C250" s="13" t="str">
        <f t="shared" si="3"/>
        <v>December</v>
      </c>
      <c r="D250" s="3" t="s">
        <v>24</v>
      </c>
      <c r="E250" s="14" t="s">
        <v>839</v>
      </c>
      <c r="F250" s="3" t="s">
        <v>25</v>
      </c>
      <c r="G250" s="3" t="s">
        <v>42</v>
      </c>
      <c r="H250" s="3" t="s">
        <v>43</v>
      </c>
      <c r="I250" s="3">
        <v>1</v>
      </c>
      <c r="J250" s="3">
        <v>204</v>
      </c>
      <c r="K250" s="3">
        <v>204</v>
      </c>
      <c r="L250" s="3" t="s">
        <v>32</v>
      </c>
    </row>
    <row r="251" spans="1:12" x14ac:dyDescent="0.3">
      <c r="A251" s="3" t="s">
        <v>469</v>
      </c>
      <c r="B251" s="3" t="s">
        <v>470</v>
      </c>
      <c r="C251" s="13" t="str">
        <f t="shared" si="3"/>
        <v>September</v>
      </c>
      <c r="D251" s="3" t="s">
        <v>46</v>
      </c>
      <c r="E251" s="14" t="s">
        <v>839</v>
      </c>
      <c r="F251" s="3" t="s">
        <v>37</v>
      </c>
      <c r="G251" s="3" t="s">
        <v>31</v>
      </c>
      <c r="H251" s="3" t="s">
        <v>14</v>
      </c>
      <c r="I251" s="3">
        <v>1</v>
      </c>
      <c r="J251" s="3">
        <v>216</v>
      </c>
      <c r="K251" s="3">
        <v>216</v>
      </c>
      <c r="L251" s="3" t="s">
        <v>38</v>
      </c>
    </row>
    <row r="252" spans="1:12" x14ac:dyDescent="0.3">
      <c r="A252" s="3" t="s">
        <v>471</v>
      </c>
      <c r="B252" s="3" t="s">
        <v>472</v>
      </c>
      <c r="C252" s="13" t="str">
        <f t="shared" si="3"/>
        <v>December</v>
      </c>
      <c r="D252" s="3" t="s">
        <v>46</v>
      </c>
      <c r="E252" s="14" t="s">
        <v>839</v>
      </c>
      <c r="F252" s="3" t="s">
        <v>12</v>
      </c>
      <c r="G252" s="3" t="s">
        <v>19</v>
      </c>
      <c r="H252" s="3" t="s">
        <v>20</v>
      </c>
      <c r="I252" s="3">
        <v>4</v>
      </c>
      <c r="J252" s="3">
        <v>143</v>
      </c>
      <c r="K252" s="3">
        <v>572</v>
      </c>
      <c r="L252" s="3" t="s">
        <v>38</v>
      </c>
    </row>
    <row r="253" spans="1:12" x14ac:dyDescent="0.3">
      <c r="A253" s="3" t="s">
        <v>473</v>
      </c>
      <c r="B253" s="3" t="s">
        <v>474</v>
      </c>
      <c r="C253" s="13" t="str">
        <f t="shared" si="3"/>
        <v>March</v>
      </c>
      <c r="D253" s="3" t="s">
        <v>54</v>
      </c>
      <c r="E253" s="14" t="s">
        <v>839</v>
      </c>
      <c r="F253" s="3" t="s">
        <v>37</v>
      </c>
      <c r="G253" s="3" t="s">
        <v>26</v>
      </c>
      <c r="H253" s="3" t="s">
        <v>27</v>
      </c>
      <c r="I253" s="3">
        <v>5</v>
      </c>
      <c r="J253" s="3">
        <v>189</v>
      </c>
      <c r="K253" s="3">
        <v>945</v>
      </c>
      <c r="L253" s="3" t="s">
        <v>21</v>
      </c>
    </row>
    <row r="254" spans="1:12" x14ac:dyDescent="0.3">
      <c r="A254" s="3" t="s">
        <v>475</v>
      </c>
      <c r="B254" s="3" t="s">
        <v>56</v>
      </c>
      <c r="C254" s="13" t="str">
        <f t="shared" si="3"/>
        <v>April</v>
      </c>
      <c r="D254" s="3" t="s">
        <v>46</v>
      </c>
      <c r="E254" s="14" t="s">
        <v>839</v>
      </c>
      <c r="F254" s="3" t="s">
        <v>12</v>
      </c>
      <c r="G254" s="3" t="s">
        <v>13</v>
      </c>
      <c r="H254" s="3" t="s">
        <v>14</v>
      </c>
      <c r="I254" s="3">
        <v>4</v>
      </c>
      <c r="J254" s="3">
        <v>180</v>
      </c>
      <c r="K254" s="3">
        <v>720</v>
      </c>
      <c r="L254" s="3" t="s">
        <v>38</v>
      </c>
    </row>
    <row r="255" spans="1:12" x14ac:dyDescent="0.3">
      <c r="A255" s="3" t="s">
        <v>476</v>
      </c>
      <c r="B255" s="3" t="s">
        <v>297</v>
      </c>
      <c r="C255" s="13" t="str">
        <f t="shared" si="3"/>
        <v>July</v>
      </c>
      <c r="D255" s="3" t="s">
        <v>11</v>
      </c>
      <c r="E255" s="14" t="s">
        <v>839</v>
      </c>
      <c r="F255" s="3" t="s">
        <v>12</v>
      </c>
      <c r="G255" s="3" t="s">
        <v>69</v>
      </c>
      <c r="H255" s="3" t="s">
        <v>14</v>
      </c>
      <c r="I255" s="3">
        <v>2</v>
      </c>
      <c r="J255" s="3">
        <v>136</v>
      </c>
      <c r="K255" s="3">
        <v>272</v>
      </c>
      <c r="L255" s="3" t="s">
        <v>32</v>
      </c>
    </row>
    <row r="256" spans="1:12" x14ac:dyDescent="0.3">
      <c r="A256" s="3" t="s">
        <v>477</v>
      </c>
      <c r="B256" s="3" t="s">
        <v>478</v>
      </c>
      <c r="C256" s="13" t="str">
        <f t="shared" si="3"/>
        <v>March</v>
      </c>
      <c r="D256" s="3" t="s">
        <v>24</v>
      </c>
      <c r="E256" s="14" t="s">
        <v>839</v>
      </c>
      <c r="F256" s="3" t="s">
        <v>41</v>
      </c>
      <c r="G256" s="3" t="s">
        <v>31</v>
      </c>
      <c r="H256" s="3" t="s">
        <v>14</v>
      </c>
      <c r="I256" s="3">
        <v>3</v>
      </c>
      <c r="J256" s="3">
        <v>215</v>
      </c>
      <c r="K256" s="3">
        <v>645</v>
      </c>
      <c r="L256" s="3" t="s">
        <v>32</v>
      </c>
    </row>
    <row r="257" spans="1:12" x14ac:dyDescent="0.3">
      <c r="A257" s="3" t="s">
        <v>479</v>
      </c>
      <c r="B257" s="3" t="s">
        <v>207</v>
      </c>
      <c r="C257" s="13" t="str">
        <f t="shared" si="3"/>
        <v>June</v>
      </c>
      <c r="D257" s="3" t="s">
        <v>11</v>
      </c>
      <c r="E257" s="14" t="s">
        <v>839</v>
      </c>
      <c r="F257" s="3" t="s">
        <v>30</v>
      </c>
      <c r="G257" s="3" t="s">
        <v>66</v>
      </c>
      <c r="H257" s="3" t="s">
        <v>43</v>
      </c>
      <c r="I257" s="3">
        <v>3</v>
      </c>
      <c r="J257" s="3">
        <v>138</v>
      </c>
      <c r="K257" s="3">
        <v>414</v>
      </c>
      <c r="L257" s="3" t="s">
        <v>21</v>
      </c>
    </row>
    <row r="258" spans="1:12" x14ac:dyDescent="0.3">
      <c r="A258" s="3" t="s">
        <v>480</v>
      </c>
      <c r="B258" s="3" t="s">
        <v>452</v>
      </c>
      <c r="C258" s="13" t="str">
        <f t="shared" si="3"/>
        <v>October</v>
      </c>
      <c r="D258" s="3" t="s">
        <v>54</v>
      </c>
      <c r="E258" s="14" t="s">
        <v>839</v>
      </c>
      <c r="F258" s="3" t="s">
        <v>41</v>
      </c>
      <c r="G258" s="3" t="s">
        <v>13</v>
      </c>
      <c r="H258" s="3" t="s">
        <v>14</v>
      </c>
      <c r="I258" s="3">
        <v>1</v>
      </c>
      <c r="J258" s="3">
        <v>179</v>
      </c>
      <c r="K258" s="3">
        <v>179</v>
      </c>
      <c r="L258" s="3" t="s">
        <v>32</v>
      </c>
    </row>
    <row r="259" spans="1:12" x14ac:dyDescent="0.3">
      <c r="A259" s="3" t="s">
        <v>481</v>
      </c>
      <c r="B259" s="3" t="s">
        <v>482</v>
      </c>
      <c r="C259" s="13" t="str">
        <f t="shared" ref="C259:C322" si="4">TEXT(B259,"mmmm")</f>
        <v>October</v>
      </c>
      <c r="D259" s="3" t="s">
        <v>51</v>
      </c>
      <c r="E259" s="14" t="s">
        <v>839</v>
      </c>
      <c r="F259" s="3" t="s">
        <v>12</v>
      </c>
      <c r="G259" s="3" t="s">
        <v>74</v>
      </c>
      <c r="H259" s="3" t="s">
        <v>27</v>
      </c>
      <c r="I259" s="3">
        <v>2</v>
      </c>
      <c r="J259" s="3">
        <v>235</v>
      </c>
      <c r="K259" s="3">
        <v>470</v>
      </c>
      <c r="L259" s="3" t="s">
        <v>21</v>
      </c>
    </row>
    <row r="260" spans="1:12" x14ac:dyDescent="0.3">
      <c r="A260" s="3" t="s">
        <v>483</v>
      </c>
      <c r="B260" s="3" t="s">
        <v>437</v>
      </c>
      <c r="C260" s="13" t="str">
        <f t="shared" si="4"/>
        <v>October</v>
      </c>
      <c r="D260" s="3" t="s">
        <v>18</v>
      </c>
      <c r="E260" s="14" t="s">
        <v>839</v>
      </c>
      <c r="F260" s="3" t="s">
        <v>12</v>
      </c>
      <c r="G260" s="3" t="s">
        <v>42</v>
      </c>
      <c r="H260" s="3" t="s">
        <v>43</v>
      </c>
      <c r="I260" s="3">
        <v>3</v>
      </c>
      <c r="J260" s="3">
        <v>225</v>
      </c>
      <c r="K260" s="3">
        <v>675</v>
      </c>
      <c r="L260" s="3" t="s">
        <v>21</v>
      </c>
    </row>
    <row r="261" spans="1:12" x14ac:dyDescent="0.3">
      <c r="A261" s="3" t="s">
        <v>484</v>
      </c>
      <c r="B261" s="3" t="s">
        <v>386</v>
      </c>
      <c r="C261" s="13" t="str">
        <f t="shared" si="4"/>
        <v>January</v>
      </c>
      <c r="D261" s="3" t="s">
        <v>24</v>
      </c>
      <c r="E261" s="14" t="s">
        <v>839</v>
      </c>
      <c r="F261" s="3" t="s">
        <v>37</v>
      </c>
      <c r="G261" s="3" t="s">
        <v>42</v>
      </c>
      <c r="H261" s="3" t="s">
        <v>43</v>
      </c>
      <c r="I261" s="3">
        <v>1</v>
      </c>
      <c r="J261" s="3">
        <v>238</v>
      </c>
      <c r="K261" s="3">
        <v>238</v>
      </c>
      <c r="L261" s="3" t="s">
        <v>38</v>
      </c>
    </row>
    <row r="262" spans="1:12" x14ac:dyDescent="0.3">
      <c r="A262" s="3" t="s">
        <v>485</v>
      </c>
      <c r="B262" s="3" t="s">
        <v>95</v>
      </c>
      <c r="C262" s="13" t="str">
        <f t="shared" si="4"/>
        <v>September</v>
      </c>
      <c r="D262" s="3" t="s">
        <v>54</v>
      </c>
      <c r="E262" s="14" t="s">
        <v>839</v>
      </c>
      <c r="F262" s="3" t="s">
        <v>12</v>
      </c>
      <c r="G262" s="3" t="s">
        <v>66</v>
      </c>
      <c r="H262" s="3" t="s">
        <v>43</v>
      </c>
      <c r="I262" s="3">
        <v>2</v>
      </c>
      <c r="J262" s="3">
        <v>132</v>
      </c>
      <c r="K262" s="3">
        <v>264</v>
      </c>
      <c r="L262" s="3" t="s">
        <v>15</v>
      </c>
    </row>
    <row r="263" spans="1:12" x14ac:dyDescent="0.3">
      <c r="A263" s="3" t="s">
        <v>486</v>
      </c>
      <c r="B263" s="3" t="s">
        <v>487</v>
      </c>
      <c r="C263" s="13" t="str">
        <f t="shared" si="4"/>
        <v>March</v>
      </c>
      <c r="D263" s="3" t="s">
        <v>11</v>
      </c>
      <c r="E263" s="14" t="s">
        <v>839</v>
      </c>
      <c r="F263" s="3" t="s">
        <v>37</v>
      </c>
      <c r="G263" s="3" t="s">
        <v>69</v>
      </c>
      <c r="H263" s="3" t="s">
        <v>14</v>
      </c>
      <c r="I263" s="3">
        <v>2</v>
      </c>
      <c r="J263" s="3">
        <v>167</v>
      </c>
      <c r="K263" s="3">
        <v>334</v>
      </c>
      <c r="L263" s="3" t="s">
        <v>21</v>
      </c>
    </row>
    <row r="264" spans="1:12" x14ac:dyDescent="0.3">
      <c r="A264" s="3" t="s">
        <v>488</v>
      </c>
      <c r="B264" s="3" t="s">
        <v>193</v>
      </c>
      <c r="C264" s="13" t="str">
        <f t="shared" si="4"/>
        <v>April</v>
      </c>
      <c r="D264" s="3" t="s">
        <v>11</v>
      </c>
      <c r="E264" s="14" t="s">
        <v>839</v>
      </c>
      <c r="F264" s="3" t="s">
        <v>30</v>
      </c>
      <c r="G264" s="3" t="s">
        <v>42</v>
      </c>
      <c r="H264" s="3" t="s">
        <v>43</v>
      </c>
      <c r="I264" s="3">
        <v>5</v>
      </c>
      <c r="J264" s="3">
        <v>205</v>
      </c>
      <c r="K264" s="3">
        <v>1025</v>
      </c>
      <c r="L264" s="3" t="s">
        <v>21</v>
      </c>
    </row>
    <row r="265" spans="1:12" x14ac:dyDescent="0.3">
      <c r="A265" s="3" t="s">
        <v>489</v>
      </c>
      <c r="B265" s="3" t="s">
        <v>248</v>
      </c>
      <c r="C265" s="13" t="str">
        <f t="shared" si="4"/>
        <v>January</v>
      </c>
      <c r="D265" s="3" t="s">
        <v>11</v>
      </c>
      <c r="E265" s="14" t="s">
        <v>839</v>
      </c>
      <c r="F265" s="3" t="s">
        <v>30</v>
      </c>
      <c r="G265" s="3" t="s">
        <v>66</v>
      </c>
      <c r="H265" s="3" t="s">
        <v>43</v>
      </c>
      <c r="I265" s="3">
        <v>3</v>
      </c>
      <c r="J265" s="3">
        <v>121</v>
      </c>
      <c r="K265" s="3">
        <v>363</v>
      </c>
      <c r="L265" s="3" t="s">
        <v>38</v>
      </c>
    </row>
    <row r="266" spans="1:12" x14ac:dyDescent="0.3">
      <c r="A266" s="3" t="s">
        <v>490</v>
      </c>
      <c r="B266" s="3" t="s">
        <v>491</v>
      </c>
      <c r="C266" s="13" t="str">
        <f t="shared" si="4"/>
        <v>May</v>
      </c>
      <c r="D266" s="3" t="s">
        <v>54</v>
      </c>
      <c r="E266" s="14" t="s">
        <v>839</v>
      </c>
      <c r="F266" s="3" t="s">
        <v>25</v>
      </c>
      <c r="G266" s="3" t="s">
        <v>79</v>
      </c>
      <c r="H266" s="3" t="s">
        <v>20</v>
      </c>
      <c r="I266" s="3">
        <v>2</v>
      </c>
      <c r="J266" s="3">
        <v>172</v>
      </c>
      <c r="K266" s="3">
        <v>344</v>
      </c>
      <c r="L266" s="3" t="s">
        <v>15</v>
      </c>
    </row>
    <row r="267" spans="1:12" x14ac:dyDescent="0.3">
      <c r="A267" s="3" t="s">
        <v>492</v>
      </c>
      <c r="B267" s="3" t="s">
        <v>17</v>
      </c>
      <c r="C267" s="13" t="str">
        <f t="shared" si="4"/>
        <v>October</v>
      </c>
      <c r="D267" s="3" t="s">
        <v>11</v>
      </c>
      <c r="E267" s="14" t="s">
        <v>839</v>
      </c>
      <c r="F267" s="3" t="s">
        <v>41</v>
      </c>
      <c r="G267" s="3" t="s">
        <v>42</v>
      </c>
      <c r="H267" s="3" t="s">
        <v>43</v>
      </c>
      <c r="I267" s="3">
        <v>2</v>
      </c>
      <c r="J267" s="3">
        <v>218</v>
      </c>
      <c r="K267" s="3">
        <v>436</v>
      </c>
      <c r="L267" s="3" t="s">
        <v>32</v>
      </c>
    </row>
    <row r="268" spans="1:12" x14ac:dyDescent="0.3">
      <c r="A268" s="3" t="s">
        <v>493</v>
      </c>
      <c r="B268" s="3" t="s">
        <v>183</v>
      </c>
      <c r="C268" s="13" t="str">
        <f t="shared" si="4"/>
        <v>July</v>
      </c>
      <c r="D268" s="3" t="s">
        <v>24</v>
      </c>
      <c r="E268" s="14" t="s">
        <v>839</v>
      </c>
      <c r="F268" s="3" t="s">
        <v>12</v>
      </c>
      <c r="G268" s="3" t="s">
        <v>69</v>
      </c>
      <c r="H268" s="3" t="s">
        <v>14</v>
      </c>
      <c r="I268" s="3">
        <v>1</v>
      </c>
      <c r="J268" s="3">
        <v>133</v>
      </c>
      <c r="K268" s="3">
        <v>133</v>
      </c>
      <c r="L268" s="3" t="s">
        <v>21</v>
      </c>
    </row>
    <row r="269" spans="1:12" x14ac:dyDescent="0.3">
      <c r="A269" s="3" t="s">
        <v>494</v>
      </c>
      <c r="B269" s="3" t="s">
        <v>495</v>
      </c>
      <c r="C269" s="13" t="str">
        <f t="shared" si="4"/>
        <v>February</v>
      </c>
      <c r="D269" s="3" t="s">
        <v>840</v>
      </c>
      <c r="E269" s="14" t="s">
        <v>839</v>
      </c>
      <c r="F269" s="3" t="s">
        <v>41</v>
      </c>
      <c r="G269" s="3" t="s">
        <v>42</v>
      </c>
      <c r="H269" s="3" t="s">
        <v>43</v>
      </c>
      <c r="I269" s="3">
        <v>3</v>
      </c>
      <c r="J269" s="3">
        <v>211</v>
      </c>
      <c r="K269" s="3">
        <v>633</v>
      </c>
      <c r="L269" s="3" t="s">
        <v>38</v>
      </c>
    </row>
    <row r="270" spans="1:12" x14ac:dyDescent="0.3">
      <c r="A270" s="3" t="s">
        <v>496</v>
      </c>
      <c r="B270" s="3" t="s">
        <v>497</v>
      </c>
      <c r="C270" s="13" t="str">
        <f t="shared" si="4"/>
        <v>March</v>
      </c>
      <c r="D270" s="3" t="s">
        <v>840</v>
      </c>
      <c r="E270" s="14" t="s">
        <v>839</v>
      </c>
      <c r="F270" s="3" t="s">
        <v>25</v>
      </c>
      <c r="G270" s="3" t="s">
        <v>79</v>
      </c>
      <c r="H270" s="3" t="s">
        <v>20</v>
      </c>
      <c r="I270" s="3">
        <v>5</v>
      </c>
      <c r="J270" s="3">
        <v>170</v>
      </c>
      <c r="K270" s="3">
        <v>850</v>
      </c>
      <c r="L270" s="3" t="s">
        <v>15</v>
      </c>
    </row>
    <row r="271" spans="1:12" x14ac:dyDescent="0.3">
      <c r="A271" s="3" t="s">
        <v>498</v>
      </c>
      <c r="B271" s="3" t="s">
        <v>468</v>
      </c>
      <c r="C271" s="13" t="str">
        <f t="shared" si="4"/>
        <v>December</v>
      </c>
      <c r="D271" s="3" t="s">
        <v>18</v>
      </c>
      <c r="E271" s="14" t="s">
        <v>839</v>
      </c>
      <c r="F271" s="3" t="s">
        <v>25</v>
      </c>
      <c r="G271" s="3" t="s">
        <v>13</v>
      </c>
      <c r="H271" s="3" t="s">
        <v>14</v>
      </c>
      <c r="I271" s="3">
        <v>3</v>
      </c>
      <c r="J271" s="3">
        <v>194</v>
      </c>
      <c r="K271" s="3">
        <v>582</v>
      </c>
      <c r="L271" s="3" t="s">
        <v>38</v>
      </c>
    </row>
    <row r="272" spans="1:12" x14ac:dyDescent="0.3">
      <c r="A272" s="3" t="s">
        <v>499</v>
      </c>
      <c r="B272" s="3" t="s">
        <v>34</v>
      </c>
      <c r="C272" s="13" t="str">
        <f t="shared" si="4"/>
        <v>March</v>
      </c>
      <c r="D272" s="3" t="s">
        <v>46</v>
      </c>
      <c r="E272" s="14" t="s">
        <v>839</v>
      </c>
      <c r="F272" s="3" t="s">
        <v>30</v>
      </c>
      <c r="G272" s="3" t="s">
        <v>57</v>
      </c>
      <c r="H272" s="3" t="s">
        <v>14</v>
      </c>
      <c r="I272" s="3">
        <v>3</v>
      </c>
      <c r="J272" s="3">
        <v>229</v>
      </c>
      <c r="K272" s="3">
        <v>687</v>
      </c>
      <c r="L272" s="3" t="s">
        <v>32</v>
      </c>
    </row>
    <row r="273" spans="1:12" x14ac:dyDescent="0.3">
      <c r="A273" s="3" t="s">
        <v>500</v>
      </c>
      <c r="B273" s="3" t="s">
        <v>501</v>
      </c>
      <c r="C273" s="13" t="str">
        <f t="shared" si="4"/>
        <v>December</v>
      </c>
      <c r="D273" s="3" t="s">
        <v>46</v>
      </c>
      <c r="E273" s="14" t="s">
        <v>839</v>
      </c>
      <c r="F273" s="3" t="s">
        <v>12</v>
      </c>
      <c r="G273" s="3" t="s">
        <v>69</v>
      </c>
      <c r="H273" s="3" t="s">
        <v>14</v>
      </c>
      <c r="I273" s="3">
        <v>5</v>
      </c>
      <c r="J273" s="3">
        <v>153</v>
      </c>
      <c r="K273" s="3">
        <v>765</v>
      </c>
      <c r="L273" s="3" t="s">
        <v>21</v>
      </c>
    </row>
    <row r="274" spans="1:12" x14ac:dyDescent="0.3">
      <c r="A274" s="3" t="s">
        <v>502</v>
      </c>
      <c r="B274" s="3" t="s">
        <v>351</v>
      </c>
      <c r="C274" s="13" t="str">
        <f t="shared" si="4"/>
        <v>June</v>
      </c>
      <c r="D274" s="3" t="s">
        <v>24</v>
      </c>
      <c r="E274" s="14" t="s">
        <v>839</v>
      </c>
      <c r="F274" s="3" t="s">
        <v>41</v>
      </c>
      <c r="G274" s="3" t="s">
        <v>19</v>
      </c>
      <c r="H274" s="3" t="s">
        <v>20</v>
      </c>
      <c r="I274" s="3">
        <v>4</v>
      </c>
      <c r="J274" s="3">
        <v>142</v>
      </c>
      <c r="K274" s="3">
        <v>568</v>
      </c>
      <c r="L274" s="3" t="s">
        <v>38</v>
      </c>
    </row>
    <row r="275" spans="1:12" x14ac:dyDescent="0.3">
      <c r="A275" s="3" t="s">
        <v>503</v>
      </c>
      <c r="B275" s="3" t="s">
        <v>504</v>
      </c>
      <c r="C275" s="13" t="str">
        <f t="shared" si="4"/>
        <v>April</v>
      </c>
      <c r="D275" s="3" t="s">
        <v>51</v>
      </c>
      <c r="E275" s="14" t="s">
        <v>839</v>
      </c>
      <c r="F275" s="3" t="s">
        <v>41</v>
      </c>
      <c r="G275" s="3" t="s">
        <v>69</v>
      </c>
      <c r="H275" s="3" t="s">
        <v>14</v>
      </c>
      <c r="I275" s="3">
        <v>5</v>
      </c>
      <c r="J275" s="3">
        <v>153</v>
      </c>
      <c r="K275" s="3">
        <v>765</v>
      </c>
      <c r="L275" s="3" t="s">
        <v>21</v>
      </c>
    </row>
    <row r="276" spans="1:12" x14ac:dyDescent="0.3">
      <c r="A276" s="3" t="s">
        <v>505</v>
      </c>
      <c r="B276" s="3" t="s">
        <v>221</v>
      </c>
      <c r="C276" s="13" t="str">
        <f t="shared" si="4"/>
        <v>November</v>
      </c>
      <c r="D276" s="3" t="s">
        <v>840</v>
      </c>
      <c r="E276" s="14" t="s">
        <v>839</v>
      </c>
      <c r="F276" s="3" t="s">
        <v>41</v>
      </c>
      <c r="G276" s="3" t="s">
        <v>42</v>
      </c>
      <c r="H276" s="3" t="s">
        <v>43</v>
      </c>
      <c r="I276" s="3">
        <v>1</v>
      </c>
      <c r="J276" s="3">
        <v>218</v>
      </c>
      <c r="K276" s="3">
        <v>218</v>
      </c>
      <c r="L276" s="3" t="s">
        <v>32</v>
      </c>
    </row>
    <row r="277" spans="1:12" x14ac:dyDescent="0.3">
      <c r="A277" s="3" t="s">
        <v>506</v>
      </c>
      <c r="B277" s="3" t="s">
        <v>491</v>
      </c>
      <c r="C277" s="13" t="str">
        <f t="shared" si="4"/>
        <v>May</v>
      </c>
      <c r="D277" s="3" t="s">
        <v>54</v>
      </c>
      <c r="E277" s="14" t="s">
        <v>839</v>
      </c>
      <c r="F277" s="3" t="s">
        <v>30</v>
      </c>
      <c r="G277" s="3" t="s">
        <v>66</v>
      </c>
      <c r="H277" s="3" t="s">
        <v>43</v>
      </c>
      <c r="I277" s="3">
        <v>5</v>
      </c>
      <c r="J277" s="3">
        <v>104</v>
      </c>
      <c r="K277" s="3">
        <v>520</v>
      </c>
      <c r="L277" s="3" t="s">
        <v>38</v>
      </c>
    </row>
    <row r="278" spans="1:12" x14ac:dyDescent="0.3">
      <c r="A278" s="3" t="s">
        <v>507</v>
      </c>
      <c r="B278" s="3" t="s">
        <v>508</v>
      </c>
      <c r="C278" s="13" t="str">
        <f t="shared" si="4"/>
        <v>December</v>
      </c>
      <c r="D278" s="3" t="s">
        <v>840</v>
      </c>
      <c r="E278" s="14" t="s">
        <v>839</v>
      </c>
      <c r="F278" s="3" t="s">
        <v>30</v>
      </c>
      <c r="G278" s="3" t="s">
        <v>69</v>
      </c>
      <c r="H278" s="3" t="s">
        <v>14</v>
      </c>
      <c r="I278" s="3">
        <v>3</v>
      </c>
      <c r="J278" s="3">
        <v>133</v>
      </c>
      <c r="K278" s="3">
        <v>399</v>
      </c>
      <c r="L278" s="3" t="s">
        <v>21</v>
      </c>
    </row>
    <row r="279" spans="1:12" x14ac:dyDescent="0.3">
      <c r="A279" s="3" t="s">
        <v>509</v>
      </c>
      <c r="B279" s="3" t="s">
        <v>235</v>
      </c>
      <c r="C279" s="13" t="str">
        <f t="shared" si="4"/>
        <v>May</v>
      </c>
      <c r="D279" s="3" t="s">
        <v>24</v>
      </c>
      <c r="E279" s="14" t="s">
        <v>839</v>
      </c>
      <c r="F279" s="3" t="s">
        <v>30</v>
      </c>
      <c r="G279" s="3" t="s">
        <v>42</v>
      </c>
      <c r="H279" s="3" t="s">
        <v>43</v>
      </c>
      <c r="I279" s="3">
        <v>5</v>
      </c>
      <c r="J279" s="3">
        <v>221</v>
      </c>
      <c r="K279" s="3">
        <v>1105</v>
      </c>
      <c r="L279" s="3" t="s">
        <v>38</v>
      </c>
    </row>
    <row r="280" spans="1:12" x14ac:dyDescent="0.3">
      <c r="A280" s="3" t="s">
        <v>510</v>
      </c>
      <c r="B280" s="3" t="s">
        <v>53</v>
      </c>
      <c r="C280" s="13" t="str">
        <f t="shared" si="4"/>
        <v>February</v>
      </c>
      <c r="D280" s="3" t="s">
        <v>54</v>
      </c>
      <c r="E280" s="14" t="s">
        <v>839</v>
      </c>
      <c r="F280" s="3" t="s">
        <v>37</v>
      </c>
      <c r="G280" s="3" t="s">
        <v>13</v>
      </c>
      <c r="H280" s="3" t="s">
        <v>14</v>
      </c>
      <c r="I280" s="3">
        <v>5</v>
      </c>
      <c r="J280" s="3">
        <v>188</v>
      </c>
      <c r="K280" s="3">
        <v>940</v>
      </c>
      <c r="L280" s="3" t="s">
        <v>32</v>
      </c>
    </row>
    <row r="281" spans="1:12" x14ac:dyDescent="0.3">
      <c r="A281" s="3" t="s">
        <v>511</v>
      </c>
      <c r="B281" s="3" t="s">
        <v>87</v>
      </c>
      <c r="C281" s="13" t="str">
        <f t="shared" si="4"/>
        <v>November</v>
      </c>
      <c r="D281" s="3" t="s">
        <v>51</v>
      </c>
      <c r="E281" s="14" t="s">
        <v>839</v>
      </c>
      <c r="F281" s="3" t="s">
        <v>12</v>
      </c>
      <c r="G281" s="3" t="s">
        <v>26</v>
      </c>
      <c r="H281" s="3" t="s">
        <v>27</v>
      </c>
      <c r="I281" s="3">
        <v>1</v>
      </c>
      <c r="J281" s="3">
        <v>171</v>
      </c>
      <c r="K281" s="3">
        <v>171</v>
      </c>
      <c r="L281" s="3" t="s">
        <v>32</v>
      </c>
    </row>
    <row r="282" spans="1:12" x14ac:dyDescent="0.3">
      <c r="A282" s="3" t="s">
        <v>512</v>
      </c>
      <c r="B282" s="3" t="s">
        <v>513</v>
      </c>
      <c r="C282" s="13" t="str">
        <f t="shared" si="4"/>
        <v>December</v>
      </c>
      <c r="D282" s="3" t="s">
        <v>54</v>
      </c>
      <c r="E282" s="14" t="s">
        <v>839</v>
      </c>
      <c r="F282" s="3" t="s">
        <v>25</v>
      </c>
      <c r="G282" s="3" t="s">
        <v>26</v>
      </c>
      <c r="H282" s="3" t="s">
        <v>27</v>
      </c>
      <c r="I282" s="3">
        <v>5</v>
      </c>
      <c r="J282" s="3">
        <v>167</v>
      </c>
      <c r="K282" s="3">
        <v>835</v>
      </c>
      <c r="L282" s="3" t="s">
        <v>21</v>
      </c>
    </row>
    <row r="283" spans="1:12" x14ac:dyDescent="0.3">
      <c r="A283" s="3" t="s">
        <v>514</v>
      </c>
      <c r="B283" s="3" t="s">
        <v>515</v>
      </c>
      <c r="C283" s="13" t="str">
        <f t="shared" si="4"/>
        <v>April</v>
      </c>
      <c r="D283" s="3" t="s">
        <v>11</v>
      </c>
      <c r="E283" s="14" t="s">
        <v>839</v>
      </c>
      <c r="F283" s="3" t="s">
        <v>37</v>
      </c>
      <c r="G283" s="3" t="s">
        <v>69</v>
      </c>
      <c r="H283" s="3" t="s">
        <v>14</v>
      </c>
      <c r="I283" s="3">
        <v>2</v>
      </c>
      <c r="J283" s="3">
        <v>138</v>
      </c>
      <c r="K283" s="3">
        <v>276</v>
      </c>
      <c r="L283" s="3" t="s">
        <v>21</v>
      </c>
    </row>
    <row r="284" spans="1:12" x14ac:dyDescent="0.3">
      <c r="A284" s="3" t="s">
        <v>516</v>
      </c>
      <c r="B284" s="3" t="s">
        <v>422</v>
      </c>
      <c r="C284" s="13" t="str">
        <f t="shared" si="4"/>
        <v>September</v>
      </c>
      <c r="D284" s="3" t="s">
        <v>840</v>
      </c>
      <c r="E284" s="14" t="s">
        <v>839</v>
      </c>
      <c r="F284" s="3" t="s">
        <v>41</v>
      </c>
      <c r="G284" s="3" t="s">
        <v>26</v>
      </c>
      <c r="H284" s="3" t="s">
        <v>27</v>
      </c>
      <c r="I284" s="3">
        <v>2</v>
      </c>
      <c r="J284" s="3">
        <v>187</v>
      </c>
      <c r="K284" s="3">
        <v>374</v>
      </c>
      <c r="L284" s="3" t="s">
        <v>21</v>
      </c>
    </row>
    <row r="285" spans="1:12" x14ac:dyDescent="0.3">
      <c r="A285" s="3" t="s">
        <v>517</v>
      </c>
      <c r="B285" s="3" t="s">
        <v>172</v>
      </c>
      <c r="C285" s="13" t="str">
        <f t="shared" si="4"/>
        <v>May</v>
      </c>
      <c r="D285" s="3" t="s">
        <v>18</v>
      </c>
      <c r="E285" s="14" t="s">
        <v>839</v>
      </c>
      <c r="F285" s="3" t="s">
        <v>41</v>
      </c>
      <c r="G285" s="3" t="s">
        <v>26</v>
      </c>
      <c r="H285" s="3" t="s">
        <v>27</v>
      </c>
      <c r="I285" s="3">
        <v>2</v>
      </c>
      <c r="J285" s="3">
        <v>171</v>
      </c>
      <c r="K285" s="3">
        <v>342</v>
      </c>
      <c r="L285" s="3" t="s">
        <v>38</v>
      </c>
    </row>
    <row r="286" spans="1:12" x14ac:dyDescent="0.3">
      <c r="A286" s="3" t="s">
        <v>518</v>
      </c>
      <c r="B286" s="3" t="s">
        <v>519</v>
      </c>
      <c r="C286" s="13" t="str">
        <f t="shared" si="4"/>
        <v>July</v>
      </c>
      <c r="D286" s="3" t="s">
        <v>46</v>
      </c>
      <c r="E286" s="14" t="s">
        <v>839</v>
      </c>
      <c r="F286" s="3" t="s">
        <v>37</v>
      </c>
      <c r="G286" s="3" t="s">
        <v>74</v>
      </c>
      <c r="H286" s="3" t="s">
        <v>27</v>
      </c>
      <c r="I286" s="3">
        <v>1</v>
      </c>
      <c r="J286" s="3">
        <v>237</v>
      </c>
      <c r="K286" s="3">
        <v>237</v>
      </c>
      <c r="L286" s="3" t="s">
        <v>32</v>
      </c>
    </row>
    <row r="287" spans="1:12" x14ac:dyDescent="0.3">
      <c r="A287" s="3" t="s">
        <v>520</v>
      </c>
      <c r="B287" s="3" t="s">
        <v>267</v>
      </c>
      <c r="C287" s="13" t="str">
        <f t="shared" si="4"/>
        <v>November</v>
      </c>
      <c r="D287" s="3" t="s">
        <v>11</v>
      </c>
      <c r="E287" s="14" t="s">
        <v>839</v>
      </c>
      <c r="F287" s="3" t="s">
        <v>25</v>
      </c>
      <c r="G287" s="3" t="s">
        <v>42</v>
      </c>
      <c r="H287" s="3" t="s">
        <v>43</v>
      </c>
      <c r="I287" s="3">
        <v>5</v>
      </c>
      <c r="J287" s="3">
        <v>206</v>
      </c>
      <c r="K287" s="3">
        <v>1030</v>
      </c>
      <c r="L287" s="3" t="s">
        <v>32</v>
      </c>
    </row>
    <row r="288" spans="1:12" x14ac:dyDescent="0.3">
      <c r="A288" s="3" t="s">
        <v>521</v>
      </c>
      <c r="B288" s="3" t="s">
        <v>522</v>
      </c>
      <c r="C288" s="13" t="str">
        <f t="shared" si="4"/>
        <v>April</v>
      </c>
      <c r="D288" s="3" t="s">
        <v>24</v>
      </c>
      <c r="E288" s="14" t="s">
        <v>839</v>
      </c>
      <c r="F288" s="3" t="s">
        <v>30</v>
      </c>
      <c r="G288" s="3" t="s">
        <v>69</v>
      </c>
      <c r="H288" s="3" t="s">
        <v>14</v>
      </c>
      <c r="I288" s="3">
        <v>2</v>
      </c>
      <c r="J288" s="3">
        <v>151</v>
      </c>
      <c r="K288" s="3">
        <v>302</v>
      </c>
      <c r="L288" s="3" t="s">
        <v>38</v>
      </c>
    </row>
    <row r="289" spans="1:12" x14ac:dyDescent="0.3">
      <c r="A289" s="3" t="s">
        <v>523</v>
      </c>
      <c r="B289" s="3" t="s">
        <v>97</v>
      </c>
      <c r="C289" s="13" t="str">
        <f t="shared" si="4"/>
        <v>January</v>
      </c>
      <c r="D289" s="3" t="s">
        <v>18</v>
      </c>
      <c r="E289" s="14" t="s">
        <v>839</v>
      </c>
      <c r="F289" s="3" t="s">
        <v>12</v>
      </c>
      <c r="G289" s="3" t="s">
        <v>69</v>
      </c>
      <c r="H289" s="3" t="s">
        <v>14</v>
      </c>
      <c r="I289" s="3">
        <v>5</v>
      </c>
      <c r="J289" s="3">
        <v>156</v>
      </c>
      <c r="K289" s="3">
        <v>780</v>
      </c>
      <c r="L289" s="3" t="s">
        <v>21</v>
      </c>
    </row>
    <row r="290" spans="1:12" x14ac:dyDescent="0.3">
      <c r="A290" s="3" t="s">
        <v>524</v>
      </c>
      <c r="B290" s="3" t="s">
        <v>301</v>
      </c>
      <c r="C290" s="13" t="str">
        <f t="shared" si="4"/>
        <v>November</v>
      </c>
      <c r="D290" s="3" t="s">
        <v>46</v>
      </c>
      <c r="E290" s="14" t="s">
        <v>839</v>
      </c>
      <c r="F290" s="3" t="s">
        <v>25</v>
      </c>
      <c r="G290" s="3" t="s">
        <v>42</v>
      </c>
      <c r="H290" s="3" t="s">
        <v>43</v>
      </c>
      <c r="I290" s="3">
        <v>5</v>
      </c>
      <c r="J290" s="3">
        <v>209</v>
      </c>
      <c r="K290" s="3">
        <v>1045</v>
      </c>
      <c r="L290" s="3" t="s">
        <v>38</v>
      </c>
    </row>
    <row r="291" spans="1:12" x14ac:dyDescent="0.3">
      <c r="A291" s="3" t="s">
        <v>525</v>
      </c>
      <c r="B291" s="3" t="s">
        <v>526</v>
      </c>
      <c r="C291" s="13" t="str">
        <f t="shared" si="4"/>
        <v>May</v>
      </c>
      <c r="D291" s="3" t="s">
        <v>18</v>
      </c>
      <c r="E291" s="14" t="s">
        <v>839</v>
      </c>
      <c r="F291" s="3" t="s">
        <v>37</v>
      </c>
      <c r="G291" s="3" t="s">
        <v>66</v>
      </c>
      <c r="H291" s="3" t="s">
        <v>43</v>
      </c>
      <c r="I291" s="3">
        <v>3</v>
      </c>
      <c r="J291" s="3">
        <v>116</v>
      </c>
      <c r="K291" s="3">
        <v>348</v>
      </c>
      <c r="L291" s="3" t="s">
        <v>21</v>
      </c>
    </row>
    <row r="292" spans="1:12" x14ac:dyDescent="0.3">
      <c r="A292" s="3" t="s">
        <v>527</v>
      </c>
      <c r="B292" s="3" t="s">
        <v>284</v>
      </c>
      <c r="C292" s="13" t="str">
        <f t="shared" si="4"/>
        <v>May</v>
      </c>
      <c r="D292" s="3" t="s">
        <v>24</v>
      </c>
      <c r="E292" s="14" t="s">
        <v>839</v>
      </c>
      <c r="F292" s="3" t="s">
        <v>37</v>
      </c>
      <c r="G292" s="3" t="s">
        <v>66</v>
      </c>
      <c r="H292" s="3" t="s">
        <v>43</v>
      </c>
      <c r="I292" s="3">
        <v>1</v>
      </c>
      <c r="J292" s="3">
        <v>139</v>
      </c>
      <c r="K292" s="3">
        <v>139</v>
      </c>
      <c r="L292" s="3" t="s">
        <v>32</v>
      </c>
    </row>
    <row r="293" spans="1:12" x14ac:dyDescent="0.3">
      <c r="A293" s="3" t="s">
        <v>528</v>
      </c>
      <c r="B293" s="3" t="s">
        <v>231</v>
      </c>
      <c r="C293" s="13" t="str">
        <f t="shared" si="4"/>
        <v>October</v>
      </c>
      <c r="D293" s="3" t="s">
        <v>54</v>
      </c>
      <c r="E293" s="14" t="s">
        <v>839</v>
      </c>
      <c r="F293" s="3" t="s">
        <v>12</v>
      </c>
      <c r="G293" s="3" t="s">
        <v>69</v>
      </c>
      <c r="H293" s="3" t="s">
        <v>14</v>
      </c>
      <c r="I293" s="3">
        <v>1</v>
      </c>
      <c r="J293" s="3">
        <v>137</v>
      </c>
      <c r="K293" s="3">
        <v>137</v>
      </c>
      <c r="L293" s="3" t="s">
        <v>15</v>
      </c>
    </row>
    <row r="294" spans="1:12" x14ac:dyDescent="0.3">
      <c r="A294" s="3" t="s">
        <v>529</v>
      </c>
      <c r="B294" s="3" t="s">
        <v>89</v>
      </c>
      <c r="C294" s="13" t="str">
        <f t="shared" si="4"/>
        <v>October</v>
      </c>
      <c r="D294" s="3" t="s">
        <v>46</v>
      </c>
      <c r="E294" s="14" t="s">
        <v>839</v>
      </c>
      <c r="F294" s="3" t="s">
        <v>37</v>
      </c>
      <c r="G294" s="3" t="s">
        <v>79</v>
      </c>
      <c r="H294" s="3" t="s">
        <v>20</v>
      </c>
      <c r="I294" s="3">
        <v>2</v>
      </c>
      <c r="J294" s="3">
        <v>154</v>
      </c>
      <c r="K294" s="3">
        <v>308</v>
      </c>
      <c r="L294" s="3" t="s">
        <v>38</v>
      </c>
    </row>
    <row r="295" spans="1:12" x14ac:dyDescent="0.3">
      <c r="A295" s="3" t="s">
        <v>530</v>
      </c>
      <c r="B295" s="3" t="s">
        <v>531</v>
      </c>
      <c r="C295" s="13" t="str">
        <f t="shared" si="4"/>
        <v>June</v>
      </c>
      <c r="D295" s="3" t="s">
        <v>24</v>
      </c>
      <c r="E295" s="14" t="s">
        <v>839</v>
      </c>
      <c r="F295" s="3" t="s">
        <v>37</v>
      </c>
      <c r="G295" s="3" t="s">
        <v>31</v>
      </c>
      <c r="H295" s="3" t="s">
        <v>14</v>
      </c>
      <c r="I295" s="3">
        <v>1</v>
      </c>
      <c r="J295" s="3">
        <v>208</v>
      </c>
      <c r="K295" s="3">
        <v>208</v>
      </c>
      <c r="L295" s="3" t="s">
        <v>15</v>
      </c>
    </row>
    <row r="296" spans="1:12" x14ac:dyDescent="0.3">
      <c r="A296" s="3" t="s">
        <v>532</v>
      </c>
      <c r="B296" s="3" t="s">
        <v>310</v>
      </c>
      <c r="C296" s="13" t="str">
        <f t="shared" si="4"/>
        <v>September</v>
      </c>
      <c r="D296" s="3" t="s">
        <v>11</v>
      </c>
      <c r="E296" s="14" t="s">
        <v>839</v>
      </c>
      <c r="F296" s="3" t="s">
        <v>41</v>
      </c>
      <c r="G296" s="3" t="s">
        <v>31</v>
      </c>
      <c r="H296" s="3" t="s">
        <v>14</v>
      </c>
      <c r="I296" s="3">
        <v>1</v>
      </c>
      <c r="J296" s="3">
        <v>208</v>
      </c>
      <c r="K296" s="3">
        <v>208</v>
      </c>
      <c r="L296" s="3" t="s">
        <v>38</v>
      </c>
    </row>
    <row r="297" spans="1:12" x14ac:dyDescent="0.3">
      <c r="A297" s="3" t="s">
        <v>533</v>
      </c>
      <c r="B297" s="3" t="s">
        <v>534</v>
      </c>
      <c r="C297" s="13" t="str">
        <f t="shared" si="4"/>
        <v>April</v>
      </c>
      <c r="D297" s="3" t="s">
        <v>24</v>
      </c>
      <c r="E297" s="14" t="s">
        <v>839</v>
      </c>
      <c r="F297" s="3" t="s">
        <v>30</v>
      </c>
      <c r="G297" s="3" t="s">
        <v>57</v>
      </c>
      <c r="H297" s="3" t="s">
        <v>14</v>
      </c>
      <c r="I297" s="3">
        <v>1</v>
      </c>
      <c r="J297" s="3">
        <v>219</v>
      </c>
      <c r="K297" s="3">
        <v>219</v>
      </c>
      <c r="L297" s="3" t="s">
        <v>21</v>
      </c>
    </row>
    <row r="298" spans="1:12" x14ac:dyDescent="0.3">
      <c r="A298" s="3" t="s">
        <v>535</v>
      </c>
      <c r="B298" s="3" t="s">
        <v>223</v>
      </c>
      <c r="C298" s="13" t="str">
        <f t="shared" si="4"/>
        <v>August</v>
      </c>
      <c r="D298" s="3" t="s">
        <v>54</v>
      </c>
      <c r="E298" s="14" t="s">
        <v>839</v>
      </c>
      <c r="F298" s="3" t="s">
        <v>12</v>
      </c>
      <c r="G298" s="3" t="s">
        <v>42</v>
      </c>
      <c r="H298" s="3" t="s">
        <v>43</v>
      </c>
      <c r="I298" s="3">
        <v>4</v>
      </c>
      <c r="J298" s="3">
        <v>215</v>
      </c>
      <c r="K298" s="3">
        <v>860</v>
      </c>
      <c r="L298" s="3" t="s">
        <v>15</v>
      </c>
    </row>
    <row r="299" spans="1:12" x14ac:dyDescent="0.3">
      <c r="A299" s="3" t="s">
        <v>536</v>
      </c>
      <c r="B299" s="3" t="s">
        <v>537</v>
      </c>
      <c r="C299" s="13" t="str">
        <f t="shared" si="4"/>
        <v>October</v>
      </c>
      <c r="D299" s="3" t="s">
        <v>11</v>
      </c>
      <c r="E299" s="14" t="s">
        <v>839</v>
      </c>
      <c r="F299" s="3" t="s">
        <v>30</v>
      </c>
      <c r="G299" s="3" t="s">
        <v>31</v>
      </c>
      <c r="H299" s="3" t="s">
        <v>14</v>
      </c>
      <c r="I299" s="3">
        <v>3</v>
      </c>
      <c r="J299" s="3">
        <v>186</v>
      </c>
      <c r="K299" s="3">
        <v>558</v>
      </c>
      <c r="L299" s="3" t="s">
        <v>38</v>
      </c>
    </row>
    <row r="300" spans="1:12" x14ac:dyDescent="0.3">
      <c r="A300" s="3" t="s">
        <v>538</v>
      </c>
      <c r="B300" s="3" t="s">
        <v>539</v>
      </c>
      <c r="C300" s="13" t="str">
        <f t="shared" si="4"/>
        <v>December</v>
      </c>
      <c r="D300" s="3" t="s">
        <v>54</v>
      </c>
      <c r="E300" s="14" t="s">
        <v>839</v>
      </c>
      <c r="F300" s="3" t="s">
        <v>30</v>
      </c>
      <c r="G300" s="3" t="s">
        <v>79</v>
      </c>
      <c r="H300" s="3" t="s">
        <v>20</v>
      </c>
      <c r="I300" s="3">
        <v>1</v>
      </c>
      <c r="J300" s="3">
        <v>177</v>
      </c>
      <c r="K300" s="3">
        <v>177</v>
      </c>
      <c r="L300" s="3" t="s">
        <v>15</v>
      </c>
    </row>
    <row r="301" spans="1:12" x14ac:dyDescent="0.3">
      <c r="A301" s="3" t="s">
        <v>540</v>
      </c>
      <c r="B301" s="3" t="s">
        <v>398</v>
      </c>
      <c r="C301" s="13" t="str">
        <f t="shared" si="4"/>
        <v>June</v>
      </c>
      <c r="D301" s="3" t="s">
        <v>18</v>
      </c>
      <c r="E301" s="14" t="s">
        <v>839</v>
      </c>
      <c r="F301" s="3" t="s">
        <v>12</v>
      </c>
      <c r="G301" s="3" t="s">
        <v>57</v>
      </c>
      <c r="H301" s="3" t="s">
        <v>14</v>
      </c>
      <c r="I301" s="3">
        <v>5</v>
      </c>
      <c r="J301" s="3">
        <v>220</v>
      </c>
      <c r="K301" s="3">
        <v>1100</v>
      </c>
      <c r="L301" s="3" t="s">
        <v>21</v>
      </c>
    </row>
    <row r="302" spans="1:12" x14ac:dyDescent="0.3">
      <c r="A302" s="3" t="s">
        <v>541</v>
      </c>
      <c r="B302" s="3" t="s">
        <v>542</v>
      </c>
      <c r="C302" s="13" t="str">
        <f t="shared" si="4"/>
        <v>June</v>
      </c>
      <c r="D302" s="3" t="s">
        <v>54</v>
      </c>
      <c r="E302" s="14" t="s">
        <v>839</v>
      </c>
      <c r="F302" s="3" t="s">
        <v>30</v>
      </c>
      <c r="G302" s="3" t="s">
        <v>69</v>
      </c>
      <c r="H302" s="3" t="s">
        <v>14</v>
      </c>
      <c r="I302" s="3">
        <v>1</v>
      </c>
      <c r="J302" s="3">
        <v>164</v>
      </c>
      <c r="K302" s="3">
        <v>164</v>
      </c>
      <c r="L302" s="3" t="s">
        <v>21</v>
      </c>
    </row>
    <row r="303" spans="1:12" x14ac:dyDescent="0.3">
      <c r="A303" s="3" t="s">
        <v>543</v>
      </c>
      <c r="B303" s="3" t="s">
        <v>495</v>
      </c>
      <c r="C303" s="13" t="str">
        <f t="shared" si="4"/>
        <v>February</v>
      </c>
      <c r="D303" s="3" t="s">
        <v>54</v>
      </c>
      <c r="E303" s="14" t="s">
        <v>839</v>
      </c>
      <c r="F303" s="3" t="s">
        <v>30</v>
      </c>
      <c r="G303" s="3" t="s">
        <v>31</v>
      </c>
      <c r="H303" s="3" t="s">
        <v>14</v>
      </c>
      <c r="I303" s="3">
        <v>2</v>
      </c>
      <c r="J303" s="3">
        <v>207</v>
      </c>
      <c r="K303" s="3">
        <v>414</v>
      </c>
      <c r="L303" s="3" t="s">
        <v>15</v>
      </c>
    </row>
    <row r="304" spans="1:12" x14ac:dyDescent="0.3">
      <c r="A304" s="3" t="s">
        <v>544</v>
      </c>
      <c r="B304" s="3" t="s">
        <v>545</v>
      </c>
      <c r="C304" s="13" t="str">
        <f t="shared" si="4"/>
        <v>September</v>
      </c>
      <c r="D304" s="3" t="s">
        <v>840</v>
      </c>
      <c r="E304" s="14" t="s">
        <v>839</v>
      </c>
      <c r="F304" s="3" t="s">
        <v>37</v>
      </c>
      <c r="G304" s="3" t="s">
        <v>57</v>
      </c>
      <c r="H304" s="3" t="s">
        <v>14</v>
      </c>
      <c r="I304" s="3">
        <v>4</v>
      </c>
      <c r="J304" s="3">
        <v>220</v>
      </c>
      <c r="K304" s="3">
        <v>880</v>
      </c>
      <c r="L304" s="3" t="s">
        <v>38</v>
      </c>
    </row>
    <row r="305" spans="1:12" x14ac:dyDescent="0.3">
      <c r="A305" s="3" t="s">
        <v>546</v>
      </c>
      <c r="B305" s="3" t="s">
        <v>50</v>
      </c>
      <c r="C305" s="13" t="str">
        <f t="shared" si="4"/>
        <v>December</v>
      </c>
      <c r="D305" s="3" t="s">
        <v>18</v>
      </c>
      <c r="E305" s="14" t="s">
        <v>839</v>
      </c>
      <c r="F305" s="3" t="s">
        <v>41</v>
      </c>
      <c r="G305" s="3" t="s">
        <v>31</v>
      </c>
      <c r="H305" s="3" t="s">
        <v>14</v>
      </c>
      <c r="I305" s="3">
        <v>4</v>
      </c>
      <c r="J305" s="3">
        <v>215</v>
      </c>
      <c r="K305" s="3">
        <v>860</v>
      </c>
      <c r="L305" s="3" t="s">
        <v>32</v>
      </c>
    </row>
    <row r="306" spans="1:12" x14ac:dyDescent="0.3">
      <c r="A306" s="3" t="s">
        <v>547</v>
      </c>
      <c r="B306" s="3" t="s">
        <v>501</v>
      </c>
      <c r="C306" s="13" t="str">
        <f t="shared" si="4"/>
        <v>December</v>
      </c>
      <c r="D306" s="3" t="s">
        <v>54</v>
      </c>
      <c r="E306" s="14" t="s">
        <v>839</v>
      </c>
      <c r="F306" s="3" t="s">
        <v>12</v>
      </c>
      <c r="G306" s="3" t="s">
        <v>31</v>
      </c>
      <c r="H306" s="3" t="s">
        <v>14</v>
      </c>
      <c r="I306" s="3">
        <v>2</v>
      </c>
      <c r="J306" s="3">
        <v>211</v>
      </c>
      <c r="K306" s="3">
        <v>422</v>
      </c>
      <c r="L306" s="3" t="s">
        <v>32</v>
      </c>
    </row>
    <row r="307" spans="1:12" x14ac:dyDescent="0.3">
      <c r="A307" s="3" t="s">
        <v>548</v>
      </c>
      <c r="B307" s="3" t="s">
        <v>549</v>
      </c>
      <c r="C307" s="13" t="str">
        <f t="shared" si="4"/>
        <v>July</v>
      </c>
      <c r="D307" s="3" t="s">
        <v>18</v>
      </c>
      <c r="E307" s="14" t="s">
        <v>839</v>
      </c>
      <c r="F307" s="3" t="s">
        <v>12</v>
      </c>
      <c r="G307" s="3" t="s">
        <v>42</v>
      </c>
      <c r="H307" s="3" t="s">
        <v>43</v>
      </c>
      <c r="I307" s="3">
        <v>5</v>
      </c>
      <c r="J307" s="3">
        <v>237</v>
      </c>
      <c r="K307" s="3">
        <v>1185</v>
      </c>
      <c r="L307" s="3" t="s">
        <v>32</v>
      </c>
    </row>
    <row r="308" spans="1:12" x14ac:dyDescent="0.3">
      <c r="A308" s="3" t="s">
        <v>550</v>
      </c>
      <c r="B308" s="3" t="s">
        <v>310</v>
      </c>
      <c r="C308" s="13" t="str">
        <f t="shared" si="4"/>
        <v>September</v>
      </c>
      <c r="D308" s="3" t="s">
        <v>24</v>
      </c>
      <c r="E308" s="14" t="s">
        <v>839</v>
      </c>
      <c r="F308" s="3" t="s">
        <v>12</v>
      </c>
      <c r="G308" s="3" t="s">
        <v>57</v>
      </c>
      <c r="H308" s="3" t="s">
        <v>14</v>
      </c>
      <c r="I308" s="3">
        <v>4</v>
      </c>
      <c r="J308" s="3">
        <v>221</v>
      </c>
      <c r="K308" s="3">
        <v>884</v>
      </c>
      <c r="L308" s="3" t="s">
        <v>38</v>
      </c>
    </row>
    <row r="309" spans="1:12" x14ac:dyDescent="0.3">
      <c r="A309" s="3" t="s">
        <v>551</v>
      </c>
      <c r="B309" s="3" t="s">
        <v>398</v>
      </c>
      <c r="C309" s="13" t="str">
        <f t="shared" si="4"/>
        <v>June</v>
      </c>
      <c r="D309" s="3" t="s">
        <v>840</v>
      </c>
      <c r="E309" s="14" t="s">
        <v>839</v>
      </c>
      <c r="F309" s="3" t="s">
        <v>12</v>
      </c>
      <c r="G309" s="3" t="s">
        <v>79</v>
      </c>
      <c r="H309" s="3" t="s">
        <v>20</v>
      </c>
      <c r="I309" s="3">
        <v>5</v>
      </c>
      <c r="J309" s="3">
        <v>175</v>
      </c>
      <c r="K309" s="3">
        <v>875</v>
      </c>
      <c r="L309" s="3" t="s">
        <v>15</v>
      </c>
    </row>
    <row r="310" spans="1:12" x14ac:dyDescent="0.3">
      <c r="A310" s="3" t="s">
        <v>552</v>
      </c>
      <c r="B310" s="3" t="s">
        <v>553</v>
      </c>
      <c r="C310" s="13" t="str">
        <f t="shared" si="4"/>
        <v>February</v>
      </c>
      <c r="D310" s="3" t="s">
        <v>11</v>
      </c>
      <c r="E310" s="14" t="s">
        <v>839</v>
      </c>
      <c r="F310" s="3" t="s">
        <v>41</v>
      </c>
      <c r="G310" s="3" t="s">
        <v>69</v>
      </c>
      <c r="H310" s="3" t="s">
        <v>14</v>
      </c>
      <c r="I310" s="3">
        <v>1</v>
      </c>
      <c r="J310" s="3">
        <v>132</v>
      </c>
      <c r="K310" s="3">
        <v>132</v>
      </c>
      <c r="L310" s="3" t="s">
        <v>15</v>
      </c>
    </row>
    <row r="311" spans="1:12" x14ac:dyDescent="0.3">
      <c r="A311" s="3" t="s">
        <v>554</v>
      </c>
      <c r="B311" s="3" t="s">
        <v>555</v>
      </c>
      <c r="C311" s="13" t="str">
        <f t="shared" si="4"/>
        <v>December</v>
      </c>
      <c r="D311" s="3" t="s">
        <v>11</v>
      </c>
      <c r="E311" s="14" t="s">
        <v>839</v>
      </c>
      <c r="F311" s="3" t="s">
        <v>41</v>
      </c>
      <c r="G311" s="3" t="s">
        <v>69</v>
      </c>
      <c r="H311" s="3" t="s">
        <v>14</v>
      </c>
      <c r="I311" s="3">
        <v>5</v>
      </c>
      <c r="J311" s="3">
        <v>144</v>
      </c>
      <c r="K311" s="3">
        <v>720</v>
      </c>
      <c r="L311" s="3" t="s">
        <v>38</v>
      </c>
    </row>
    <row r="312" spans="1:12" x14ac:dyDescent="0.3">
      <c r="A312" s="3" t="s">
        <v>556</v>
      </c>
      <c r="B312" s="3" t="s">
        <v>531</v>
      </c>
      <c r="C312" s="13" t="str">
        <f t="shared" si="4"/>
        <v>June</v>
      </c>
      <c r="D312" s="3" t="s">
        <v>24</v>
      </c>
      <c r="E312" s="14" t="s">
        <v>839</v>
      </c>
      <c r="F312" s="3" t="s">
        <v>25</v>
      </c>
      <c r="G312" s="3" t="s">
        <v>79</v>
      </c>
      <c r="H312" s="3" t="s">
        <v>20</v>
      </c>
      <c r="I312" s="3">
        <v>5</v>
      </c>
      <c r="J312" s="3">
        <v>155</v>
      </c>
      <c r="K312" s="3">
        <v>775</v>
      </c>
      <c r="L312" s="3" t="s">
        <v>21</v>
      </c>
    </row>
    <row r="313" spans="1:12" x14ac:dyDescent="0.3">
      <c r="A313" s="3" t="s">
        <v>557</v>
      </c>
      <c r="B313" s="3" t="s">
        <v>157</v>
      </c>
      <c r="C313" s="13" t="str">
        <f t="shared" si="4"/>
        <v>August</v>
      </c>
      <c r="D313" s="3" t="s">
        <v>18</v>
      </c>
      <c r="E313" s="14" t="s">
        <v>839</v>
      </c>
      <c r="F313" s="3" t="s">
        <v>25</v>
      </c>
      <c r="G313" s="3" t="s">
        <v>26</v>
      </c>
      <c r="H313" s="3" t="s">
        <v>27</v>
      </c>
      <c r="I313" s="3">
        <v>1</v>
      </c>
      <c r="J313" s="3">
        <v>186</v>
      </c>
      <c r="K313" s="3">
        <v>186</v>
      </c>
      <c r="L313" s="3" t="s">
        <v>32</v>
      </c>
    </row>
    <row r="314" spans="1:12" x14ac:dyDescent="0.3">
      <c r="A314" s="3" t="s">
        <v>558</v>
      </c>
      <c r="B314" s="3" t="s">
        <v>402</v>
      </c>
      <c r="C314" s="13" t="str">
        <f t="shared" si="4"/>
        <v>February</v>
      </c>
      <c r="D314" s="3" t="s">
        <v>54</v>
      </c>
      <c r="E314" s="14" t="s">
        <v>839</v>
      </c>
      <c r="F314" s="3" t="s">
        <v>25</v>
      </c>
      <c r="G314" s="3" t="s">
        <v>42</v>
      </c>
      <c r="H314" s="3" t="s">
        <v>43</v>
      </c>
      <c r="I314" s="3">
        <v>2</v>
      </c>
      <c r="J314" s="3">
        <v>228</v>
      </c>
      <c r="K314" s="3">
        <v>456</v>
      </c>
      <c r="L314" s="3" t="s">
        <v>38</v>
      </c>
    </row>
    <row r="315" spans="1:12" x14ac:dyDescent="0.3">
      <c r="A315" s="3" t="s">
        <v>559</v>
      </c>
      <c r="B315" s="3" t="s">
        <v>223</v>
      </c>
      <c r="C315" s="13" t="str">
        <f t="shared" si="4"/>
        <v>August</v>
      </c>
      <c r="D315" s="3" t="s">
        <v>54</v>
      </c>
      <c r="E315" s="14" t="s">
        <v>839</v>
      </c>
      <c r="F315" s="3" t="s">
        <v>30</v>
      </c>
      <c r="G315" s="3" t="s">
        <v>66</v>
      </c>
      <c r="H315" s="3" t="s">
        <v>43</v>
      </c>
      <c r="I315" s="3">
        <v>4</v>
      </c>
      <c r="J315" s="3">
        <v>134</v>
      </c>
      <c r="K315" s="3">
        <v>536</v>
      </c>
      <c r="L315" s="3" t="s">
        <v>21</v>
      </c>
    </row>
    <row r="316" spans="1:12" x14ac:dyDescent="0.3">
      <c r="A316" s="3" t="s">
        <v>560</v>
      </c>
      <c r="B316" s="3" t="s">
        <v>167</v>
      </c>
      <c r="C316" s="13" t="str">
        <f t="shared" si="4"/>
        <v>September</v>
      </c>
      <c r="D316" s="3" t="s">
        <v>54</v>
      </c>
      <c r="E316" s="14" t="s">
        <v>839</v>
      </c>
      <c r="F316" s="3" t="s">
        <v>25</v>
      </c>
      <c r="G316" s="3" t="s">
        <v>42</v>
      </c>
      <c r="H316" s="3" t="s">
        <v>43</v>
      </c>
      <c r="I316" s="3">
        <v>5</v>
      </c>
      <c r="J316" s="3">
        <v>201</v>
      </c>
      <c r="K316" s="3">
        <v>1005</v>
      </c>
      <c r="L316" s="3" t="s">
        <v>21</v>
      </c>
    </row>
    <row r="317" spans="1:12" x14ac:dyDescent="0.3">
      <c r="A317" s="3" t="s">
        <v>561</v>
      </c>
      <c r="B317" s="3" t="s">
        <v>342</v>
      </c>
      <c r="C317" s="13" t="str">
        <f t="shared" si="4"/>
        <v>March</v>
      </c>
      <c r="D317" s="3" t="s">
        <v>54</v>
      </c>
      <c r="E317" s="14" t="s">
        <v>839</v>
      </c>
      <c r="F317" s="3" t="s">
        <v>25</v>
      </c>
      <c r="G317" s="3" t="s">
        <v>31</v>
      </c>
      <c r="H317" s="3" t="s">
        <v>14</v>
      </c>
      <c r="I317" s="3">
        <v>5</v>
      </c>
      <c r="J317" s="3">
        <v>215</v>
      </c>
      <c r="K317" s="3">
        <v>1075</v>
      </c>
      <c r="L317" s="3" t="s">
        <v>21</v>
      </c>
    </row>
    <row r="318" spans="1:12" x14ac:dyDescent="0.3">
      <c r="A318" s="3" t="s">
        <v>562</v>
      </c>
      <c r="B318" s="3" t="s">
        <v>563</v>
      </c>
      <c r="C318" s="13" t="str">
        <f t="shared" si="4"/>
        <v>January</v>
      </c>
      <c r="D318" s="3" t="s">
        <v>11</v>
      </c>
      <c r="E318" s="14" t="s">
        <v>839</v>
      </c>
      <c r="F318" s="3" t="s">
        <v>30</v>
      </c>
      <c r="G318" s="3" t="s">
        <v>74</v>
      </c>
      <c r="H318" s="3" t="s">
        <v>27</v>
      </c>
      <c r="I318" s="3">
        <v>3</v>
      </c>
      <c r="J318" s="3">
        <v>232</v>
      </c>
      <c r="K318" s="3">
        <v>696</v>
      </c>
      <c r="L318" s="3" t="s">
        <v>38</v>
      </c>
    </row>
    <row r="319" spans="1:12" x14ac:dyDescent="0.3">
      <c r="A319" s="3" t="s">
        <v>564</v>
      </c>
      <c r="B319" s="3" t="s">
        <v>237</v>
      </c>
      <c r="C319" s="13" t="str">
        <f t="shared" si="4"/>
        <v>August</v>
      </c>
      <c r="D319" s="3" t="s">
        <v>11</v>
      </c>
      <c r="E319" s="14" t="s">
        <v>839</v>
      </c>
      <c r="F319" s="3" t="s">
        <v>25</v>
      </c>
      <c r="G319" s="3" t="s">
        <v>13</v>
      </c>
      <c r="H319" s="3" t="s">
        <v>14</v>
      </c>
      <c r="I319" s="3">
        <v>3</v>
      </c>
      <c r="J319" s="3">
        <v>184</v>
      </c>
      <c r="K319" s="3">
        <v>552</v>
      </c>
      <c r="L319" s="3" t="s">
        <v>21</v>
      </c>
    </row>
    <row r="320" spans="1:12" x14ac:dyDescent="0.3">
      <c r="A320" s="3" t="s">
        <v>565</v>
      </c>
      <c r="B320" s="3" t="s">
        <v>566</v>
      </c>
      <c r="C320" s="13" t="str">
        <f t="shared" si="4"/>
        <v>September</v>
      </c>
      <c r="D320" s="3" t="s">
        <v>54</v>
      </c>
      <c r="E320" s="14" t="s">
        <v>839</v>
      </c>
      <c r="F320" s="3" t="s">
        <v>30</v>
      </c>
      <c r="G320" s="3" t="s">
        <v>74</v>
      </c>
      <c r="H320" s="3" t="s">
        <v>27</v>
      </c>
      <c r="I320" s="3">
        <v>5</v>
      </c>
      <c r="J320" s="3">
        <v>246</v>
      </c>
      <c r="K320" s="3">
        <v>1230</v>
      </c>
      <c r="L320" s="3" t="s">
        <v>38</v>
      </c>
    </row>
    <row r="321" spans="1:12" x14ac:dyDescent="0.3">
      <c r="A321" s="3" t="s">
        <v>567</v>
      </c>
      <c r="B321" s="3" t="s">
        <v>568</v>
      </c>
      <c r="C321" s="13" t="str">
        <f t="shared" si="4"/>
        <v>September</v>
      </c>
      <c r="D321" s="3" t="s">
        <v>46</v>
      </c>
      <c r="E321" s="14" t="s">
        <v>839</v>
      </c>
      <c r="F321" s="3" t="s">
        <v>41</v>
      </c>
      <c r="G321" s="3" t="s">
        <v>26</v>
      </c>
      <c r="H321" s="3" t="s">
        <v>27</v>
      </c>
      <c r="I321" s="3">
        <v>1</v>
      </c>
      <c r="J321" s="3">
        <v>162</v>
      </c>
      <c r="K321" s="3">
        <v>162</v>
      </c>
      <c r="L321" s="3" t="s">
        <v>32</v>
      </c>
    </row>
    <row r="322" spans="1:12" x14ac:dyDescent="0.3">
      <c r="A322" s="3" t="s">
        <v>569</v>
      </c>
      <c r="B322" s="3" t="s">
        <v>570</v>
      </c>
      <c r="C322" s="13" t="str">
        <f t="shared" si="4"/>
        <v>April</v>
      </c>
      <c r="D322" s="3" t="s">
        <v>18</v>
      </c>
      <c r="E322" s="14" t="s">
        <v>839</v>
      </c>
      <c r="F322" s="3" t="s">
        <v>12</v>
      </c>
      <c r="G322" s="3" t="s">
        <v>57</v>
      </c>
      <c r="H322" s="3" t="s">
        <v>14</v>
      </c>
      <c r="I322" s="3">
        <v>5</v>
      </c>
      <c r="J322" s="3">
        <v>195</v>
      </c>
      <c r="K322" s="3">
        <v>975</v>
      </c>
      <c r="L322" s="3" t="s">
        <v>21</v>
      </c>
    </row>
    <row r="323" spans="1:12" x14ac:dyDescent="0.3">
      <c r="A323" s="3" t="s">
        <v>571</v>
      </c>
      <c r="B323" s="3" t="s">
        <v>572</v>
      </c>
      <c r="C323" s="13" t="str">
        <f t="shared" ref="C323:C386" si="5">TEXT(B323,"mmmm")</f>
        <v>November</v>
      </c>
      <c r="D323" s="3" t="s">
        <v>24</v>
      </c>
      <c r="E323" s="14" t="s">
        <v>839</v>
      </c>
      <c r="F323" s="3" t="s">
        <v>12</v>
      </c>
      <c r="G323" s="3" t="s">
        <v>31</v>
      </c>
      <c r="H323" s="3" t="s">
        <v>14</v>
      </c>
      <c r="I323" s="3">
        <v>3</v>
      </c>
      <c r="J323" s="3">
        <v>198</v>
      </c>
      <c r="K323" s="3">
        <v>594</v>
      </c>
      <c r="L323" s="3" t="s">
        <v>32</v>
      </c>
    </row>
    <row r="324" spans="1:12" x14ac:dyDescent="0.3">
      <c r="A324" s="3" t="s">
        <v>573</v>
      </c>
      <c r="B324" s="3" t="s">
        <v>299</v>
      </c>
      <c r="C324" s="13" t="str">
        <f t="shared" si="5"/>
        <v>July</v>
      </c>
      <c r="D324" s="3" t="s">
        <v>11</v>
      </c>
      <c r="E324" s="14" t="s">
        <v>839</v>
      </c>
      <c r="F324" s="3" t="s">
        <v>12</v>
      </c>
      <c r="G324" s="3" t="s">
        <v>74</v>
      </c>
      <c r="H324" s="3" t="s">
        <v>27</v>
      </c>
      <c r="I324" s="3">
        <v>2</v>
      </c>
      <c r="J324" s="3">
        <v>262</v>
      </c>
      <c r="K324" s="3">
        <v>524</v>
      </c>
      <c r="L324" s="3" t="s">
        <v>15</v>
      </c>
    </row>
    <row r="325" spans="1:12" x14ac:dyDescent="0.3">
      <c r="A325" s="3" t="s">
        <v>574</v>
      </c>
      <c r="B325" s="3" t="s">
        <v>513</v>
      </c>
      <c r="C325" s="13" t="str">
        <f t="shared" si="5"/>
        <v>December</v>
      </c>
      <c r="D325" s="3" t="s">
        <v>11</v>
      </c>
      <c r="E325" s="14" t="s">
        <v>839</v>
      </c>
      <c r="F325" s="3" t="s">
        <v>12</v>
      </c>
      <c r="G325" s="3" t="s">
        <v>31</v>
      </c>
      <c r="H325" s="3" t="s">
        <v>14</v>
      </c>
      <c r="I325" s="3">
        <v>2</v>
      </c>
      <c r="J325" s="3">
        <v>198</v>
      </c>
      <c r="K325" s="3">
        <v>396</v>
      </c>
      <c r="L325" s="3" t="s">
        <v>21</v>
      </c>
    </row>
    <row r="326" spans="1:12" x14ac:dyDescent="0.3">
      <c r="A326" s="3" t="s">
        <v>575</v>
      </c>
      <c r="B326" s="3" t="s">
        <v>274</v>
      </c>
      <c r="C326" s="13" t="str">
        <f t="shared" si="5"/>
        <v>November</v>
      </c>
      <c r="D326" s="3" t="s">
        <v>46</v>
      </c>
      <c r="E326" s="14" t="s">
        <v>839</v>
      </c>
      <c r="F326" s="3" t="s">
        <v>25</v>
      </c>
      <c r="G326" s="3" t="s">
        <v>69</v>
      </c>
      <c r="H326" s="3" t="s">
        <v>14</v>
      </c>
      <c r="I326" s="3">
        <v>3</v>
      </c>
      <c r="J326" s="3">
        <v>168</v>
      </c>
      <c r="K326" s="3">
        <v>504</v>
      </c>
      <c r="L326" s="3" t="s">
        <v>32</v>
      </c>
    </row>
    <row r="327" spans="1:12" x14ac:dyDescent="0.3">
      <c r="A327" s="3" t="s">
        <v>576</v>
      </c>
      <c r="B327" s="3" t="s">
        <v>577</v>
      </c>
      <c r="C327" s="13" t="str">
        <f t="shared" si="5"/>
        <v>November</v>
      </c>
      <c r="D327" s="3" t="s">
        <v>840</v>
      </c>
      <c r="E327" s="14" t="s">
        <v>839</v>
      </c>
      <c r="F327" s="3" t="s">
        <v>25</v>
      </c>
      <c r="G327" s="3" t="s">
        <v>19</v>
      </c>
      <c r="H327" s="3" t="s">
        <v>20</v>
      </c>
      <c r="I327" s="3">
        <v>2</v>
      </c>
      <c r="J327" s="3">
        <v>144</v>
      </c>
      <c r="K327" s="3">
        <v>288</v>
      </c>
      <c r="L327" s="3" t="s">
        <v>32</v>
      </c>
    </row>
    <row r="328" spans="1:12" x14ac:dyDescent="0.3">
      <c r="A328" s="3" t="s">
        <v>578</v>
      </c>
      <c r="B328" s="3" t="s">
        <v>579</v>
      </c>
      <c r="C328" s="13" t="str">
        <f t="shared" si="5"/>
        <v>February</v>
      </c>
      <c r="D328" s="3" t="s">
        <v>24</v>
      </c>
      <c r="E328" s="14" t="s">
        <v>839</v>
      </c>
      <c r="F328" s="3" t="s">
        <v>12</v>
      </c>
      <c r="G328" s="3" t="s">
        <v>79</v>
      </c>
      <c r="H328" s="3" t="s">
        <v>20</v>
      </c>
      <c r="I328" s="3">
        <v>5</v>
      </c>
      <c r="J328" s="3">
        <v>149</v>
      </c>
      <c r="K328" s="3">
        <v>745</v>
      </c>
      <c r="L328" s="3" t="s">
        <v>32</v>
      </c>
    </row>
    <row r="329" spans="1:12" x14ac:dyDescent="0.3">
      <c r="A329" s="3" t="s">
        <v>580</v>
      </c>
      <c r="B329" s="3" t="s">
        <v>581</v>
      </c>
      <c r="C329" s="13" t="str">
        <f t="shared" si="5"/>
        <v>July</v>
      </c>
      <c r="D329" s="3" t="s">
        <v>46</v>
      </c>
      <c r="E329" s="14" t="s">
        <v>839</v>
      </c>
      <c r="F329" s="3" t="s">
        <v>12</v>
      </c>
      <c r="G329" s="3" t="s">
        <v>26</v>
      </c>
      <c r="H329" s="3" t="s">
        <v>27</v>
      </c>
      <c r="I329" s="3">
        <v>2</v>
      </c>
      <c r="J329" s="3">
        <v>172</v>
      </c>
      <c r="K329" s="3">
        <v>344</v>
      </c>
      <c r="L329" s="3" t="s">
        <v>15</v>
      </c>
    </row>
    <row r="330" spans="1:12" x14ac:dyDescent="0.3">
      <c r="A330" s="3" t="s">
        <v>582</v>
      </c>
      <c r="B330" s="3" t="s">
        <v>36</v>
      </c>
      <c r="C330" s="13" t="str">
        <f t="shared" si="5"/>
        <v>July</v>
      </c>
      <c r="D330" s="3" t="s">
        <v>18</v>
      </c>
      <c r="E330" s="14" t="s">
        <v>839</v>
      </c>
      <c r="F330" s="3" t="s">
        <v>12</v>
      </c>
      <c r="G330" s="3" t="s">
        <v>26</v>
      </c>
      <c r="H330" s="3" t="s">
        <v>27</v>
      </c>
      <c r="I330" s="3">
        <v>2</v>
      </c>
      <c r="J330" s="3">
        <v>156</v>
      </c>
      <c r="K330" s="3">
        <v>312</v>
      </c>
      <c r="L330" s="3" t="s">
        <v>15</v>
      </c>
    </row>
    <row r="331" spans="1:12" x14ac:dyDescent="0.3">
      <c r="A331" s="3" t="s">
        <v>583</v>
      </c>
      <c r="B331" s="3" t="s">
        <v>584</v>
      </c>
      <c r="C331" s="13" t="str">
        <f t="shared" si="5"/>
        <v>February</v>
      </c>
      <c r="D331" s="3" t="s">
        <v>54</v>
      </c>
      <c r="E331" s="14" t="s">
        <v>839</v>
      </c>
      <c r="F331" s="3" t="s">
        <v>25</v>
      </c>
      <c r="G331" s="3" t="s">
        <v>69</v>
      </c>
      <c r="H331" s="3" t="s">
        <v>14</v>
      </c>
      <c r="I331" s="3">
        <v>3</v>
      </c>
      <c r="J331" s="3">
        <v>143</v>
      </c>
      <c r="K331" s="3">
        <v>429</v>
      </c>
      <c r="L331" s="3" t="s">
        <v>21</v>
      </c>
    </row>
    <row r="332" spans="1:12" x14ac:dyDescent="0.3">
      <c r="A332" s="3" t="s">
        <v>585</v>
      </c>
      <c r="B332" s="3" t="s">
        <v>95</v>
      </c>
      <c r="C332" s="13" t="str">
        <f t="shared" si="5"/>
        <v>September</v>
      </c>
      <c r="D332" s="3" t="s">
        <v>54</v>
      </c>
      <c r="E332" s="14" t="s">
        <v>839</v>
      </c>
      <c r="F332" s="3" t="s">
        <v>25</v>
      </c>
      <c r="G332" s="3" t="s">
        <v>26</v>
      </c>
      <c r="H332" s="3" t="s">
        <v>27</v>
      </c>
      <c r="I332" s="3">
        <v>5</v>
      </c>
      <c r="J332" s="3">
        <v>157</v>
      </c>
      <c r="K332" s="3">
        <v>785</v>
      </c>
      <c r="L332" s="3" t="s">
        <v>38</v>
      </c>
    </row>
    <row r="333" spans="1:12" x14ac:dyDescent="0.3">
      <c r="A333" s="3" t="s">
        <v>586</v>
      </c>
      <c r="B333" s="3" t="s">
        <v>348</v>
      </c>
      <c r="C333" s="13" t="str">
        <f t="shared" si="5"/>
        <v>February</v>
      </c>
      <c r="D333" s="3" t="s">
        <v>24</v>
      </c>
      <c r="E333" s="14" t="s">
        <v>839</v>
      </c>
      <c r="F333" s="3" t="s">
        <v>37</v>
      </c>
      <c r="G333" s="3" t="s">
        <v>79</v>
      </c>
      <c r="H333" s="3" t="s">
        <v>20</v>
      </c>
      <c r="I333" s="3">
        <v>5</v>
      </c>
      <c r="J333" s="3">
        <v>147</v>
      </c>
      <c r="K333" s="3">
        <v>735</v>
      </c>
      <c r="L333" s="3" t="s">
        <v>15</v>
      </c>
    </row>
    <row r="334" spans="1:12" x14ac:dyDescent="0.3">
      <c r="A334" s="3" t="s">
        <v>587</v>
      </c>
      <c r="B334" s="3" t="s">
        <v>588</v>
      </c>
      <c r="C334" s="13" t="str">
        <f t="shared" si="5"/>
        <v>March</v>
      </c>
      <c r="D334" s="3" t="s">
        <v>11</v>
      </c>
      <c r="E334" s="14" t="s">
        <v>839</v>
      </c>
      <c r="F334" s="3" t="s">
        <v>25</v>
      </c>
      <c r="G334" s="3" t="s">
        <v>57</v>
      </c>
      <c r="H334" s="3" t="s">
        <v>14</v>
      </c>
      <c r="I334" s="3">
        <v>5</v>
      </c>
      <c r="J334" s="3">
        <v>206</v>
      </c>
      <c r="K334" s="3">
        <v>1030</v>
      </c>
      <c r="L334" s="3" t="s">
        <v>21</v>
      </c>
    </row>
    <row r="335" spans="1:12" x14ac:dyDescent="0.3">
      <c r="A335" s="3" t="s">
        <v>589</v>
      </c>
      <c r="B335" s="3" t="s">
        <v>320</v>
      </c>
      <c r="C335" s="13" t="str">
        <f t="shared" si="5"/>
        <v>February</v>
      </c>
      <c r="D335" s="3" t="s">
        <v>18</v>
      </c>
      <c r="E335" s="14" t="s">
        <v>839</v>
      </c>
      <c r="F335" s="3" t="s">
        <v>12</v>
      </c>
      <c r="G335" s="3" t="s">
        <v>79</v>
      </c>
      <c r="H335" s="3" t="s">
        <v>20</v>
      </c>
      <c r="I335" s="3">
        <v>2</v>
      </c>
      <c r="J335" s="3">
        <v>144</v>
      </c>
      <c r="K335" s="3">
        <v>288</v>
      </c>
      <c r="L335" s="3" t="s">
        <v>15</v>
      </c>
    </row>
    <row r="336" spans="1:12" x14ac:dyDescent="0.3">
      <c r="A336" s="3" t="s">
        <v>590</v>
      </c>
      <c r="B336" s="3" t="s">
        <v>95</v>
      </c>
      <c r="C336" s="13" t="str">
        <f t="shared" si="5"/>
        <v>September</v>
      </c>
      <c r="D336" s="3" t="s">
        <v>51</v>
      </c>
      <c r="E336" s="14" t="s">
        <v>839</v>
      </c>
      <c r="F336" s="3" t="s">
        <v>41</v>
      </c>
      <c r="G336" s="3" t="s">
        <v>26</v>
      </c>
      <c r="H336" s="3" t="s">
        <v>27</v>
      </c>
      <c r="I336" s="3">
        <v>3</v>
      </c>
      <c r="J336" s="3">
        <v>156</v>
      </c>
      <c r="K336" s="3">
        <v>468</v>
      </c>
      <c r="L336" s="3" t="s">
        <v>32</v>
      </c>
    </row>
    <row r="337" spans="1:12" x14ac:dyDescent="0.3">
      <c r="A337" s="3" t="s">
        <v>591</v>
      </c>
      <c r="B337" s="3" t="s">
        <v>592</v>
      </c>
      <c r="C337" s="13" t="str">
        <f t="shared" si="5"/>
        <v>January</v>
      </c>
      <c r="D337" s="3" t="s">
        <v>11</v>
      </c>
      <c r="E337" s="14" t="s">
        <v>839</v>
      </c>
      <c r="F337" s="3" t="s">
        <v>12</v>
      </c>
      <c r="G337" s="3" t="s">
        <v>26</v>
      </c>
      <c r="H337" s="3" t="s">
        <v>27</v>
      </c>
      <c r="I337" s="3">
        <v>2</v>
      </c>
      <c r="J337" s="3">
        <v>176</v>
      </c>
      <c r="K337" s="3">
        <v>352</v>
      </c>
      <c r="L337" s="3" t="s">
        <v>15</v>
      </c>
    </row>
    <row r="338" spans="1:12" x14ac:dyDescent="0.3">
      <c r="A338" s="3" t="s">
        <v>593</v>
      </c>
      <c r="B338" s="3" t="s">
        <v>594</v>
      </c>
      <c r="C338" s="13" t="str">
        <f t="shared" si="5"/>
        <v>January</v>
      </c>
      <c r="D338" s="3" t="s">
        <v>11</v>
      </c>
      <c r="E338" s="14" t="s">
        <v>839</v>
      </c>
      <c r="F338" s="3" t="s">
        <v>30</v>
      </c>
      <c r="G338" s="3" t="s">
        <v>19</v>
      </c>
      <c r="H338" s="3" t="s">
        <v>20</v>
      </c>
      <c r="I338" s="3">
        <v>4</v>
      </c>
      <c r="J338" s="3">
        <v>149</v>
      </c>
      <c r="K338" s="3">
        <v>596</v>
      </c>
      <c r="L338" s="3" t="s">
        <v>32</v>
      </c>
    </row>
    <row r="339" spans="1:12" x14ac:dyDescent="0.3">
      <c r="A339" s="3" t="s">
        <v>595</v>
      </c>
      <c r="B339" s="3" t="s">
        <v>596</v>
      </c>
      <c r="C339" s="13" t="str">
        <f t="shared" si="5"/>
        <v>October</v>
      </c>
      <c r="D339" s="3" t="s">
        <v>18</v>
      </c>
      <c r="E339" s="14" t="s">
        <v>839</v>
      </c>
      <c r="F339" s="3" t="s">
        <v>41</v>
      </c>
      <c r="G339" s="3" t="s">
        <v>79</v>
      </c>
      <c r="H339" s="3" t="s">
        <v>20</v>
      </c>
      <c r="I339" s="3">
        <v>3</v>
      </c>
      <c r="J339" s="3">
        <v>174</v>
      </c>
      <c r="K339" s="3">
        <v>522</v>
      </c>
      <c r="L339" s="3" t="s">
        <v>38</v>
      </c>
    </row>
    <row r="340" spans="1:12" x14ac:dyDescent="0.3">
      <c r="A340" s="3" t="s">
        <v>597</v>
      </c>
      <c r="B340" s="3" t="s">
        <v>444</v>
      </c>
      <c r="C340" s="13" t="str">
        <f t="shared" si="5"/>
        <v>July</v>
      </c>
      <c r="D340" s="3" t="s">
        <v>54</v>
      </c>
      <c r="E340" s="14" t="s">
        <v>839</v>
      </c>
      <c r="F340" s="3" t="s">
        <v>37</v>
      </c>
      <c r="G340" s="3" t="s">
        <v>79</v>
      </c>
      <c r="H340" s="3" t="s">
        <v>20</v>
      </c>
      <c r="I340" s="3">
        <v>2</v>
      </c>
      <c r="J340" s="3">
        <v>161</v>
      </c>
      <c r="K340" s="3">
        <v>322</v>
      </c>
      <c r="L340" s="3" t="s">
        <v>21</v>
      </c>
    </row>
    <row r="341" spans="1:12" x14ac:dyDescent="0.3">
      <c r="A341" s="3" t="s">
        <v>598</v>
      </c>
      <c r="B341" s="3" t="s">
        <v>73</v>
      </c>
      <c r="C341" s="13" t="str">
        <f t="shared" si="5"/>
        <v>March</v>
      </c>
      <c r="D341" s="3" t="s">
        <v>24</v>
      </c>
      <c r="E341" s="14" t="s">
        <v>839</v>
      </c>
      <c r="F341" s="3" t="s">
        <v>25</v>
      </c>
      <c r="G341" s="3" t="s">
        <v>13</v>
      </c>
      <c r="H341" s="3" t="s">
        <v>14</v>
      </c>
      <c r="I341" s="3">
        <v>2</v>
      </c>
      <c r="J341" s="3">
        <v>187</v>
      </c>
      <c r="K341" s="3">
        <v>374</v>
      </c>
      <c r="L341" s="3" t="s">
        <v>32</v>
      </c>
    </row>
    <row r="342" spans="1:12" x14ac:dyDescent="0.3">
      <c r="A342" s="3" t="s">
        <v>599</v>
      </c>
      <c r="B342" s="3" t="s">
        <v>237</v>
      </c>
      <c r="C342" s="13" t="str">
        <f t="shared" si="5"/>
        <v>August</v>
      </c>
      <c r="D342" s="3" t="s">
        <v>51</v>
      </c>
      <c r="E342" s="14" t="s">
        <v>839</v>
      </c>
      <c r="F342" s="3" t="s">
        <v>41</v>
      </c>
      <c r="G342" s="3" t="s">
        <v>66</v>
      </c>
      <c r="H342" s="3" t="s">
        <v>43</v>
      </c>
      <c r="I342" s="3">
        <v>4</v>
      </c>
      <c r="J342" s="3">
        <v>105</v>
      </c>
      <c r="K342" s="3">
        <v>420</v>
      </c>
      <c r="L342" s="3" t="s">
        <v>21</v>
      </c>
    </row>
    <row r="343" spans="1:12" x14ac:dyDescent="0.3">
      <c r="A343" s="3" t="s">
        <v>600</v>
      </c>
      <c r="B343" s="3" t="s">
        <v>87</v>
      </c>
      <c r="C343" s="13" t="str">
        <f t="shared" si="5"/>
        <v>November</v>
      </c>
      <c r="D343" s="3" t="s">
        <v>840</v>
      </c>
      <c r="E343" s="14" t="s">
        <v>839</v>
      </c>
      <c r="F343" s="3" t="s">
        <v>30</v>
      </c>
      <c r="G343" s="3" t="s">
        <v>66</v>
      </c>
      <c r="H343" s="3" t="s">
        <v>43</v>
      </c>
      <c r="I343" s="3">
        <v>1</v>
      </c>
      <c r="J343" s="3">
        <v>137</v>
      </c>
      <c r="K343" s="3">
        <v>137</v>
      </c>
      <c r="L343" s="3" t="s">
        <v>21</v>
      </c>
    </row>
    <row r="344" spans="1:12" x14ac:dyDescent="0.3">
      <c r="A344" s="3" t="s">
        <v>601</v>
      </c>
      <c r="B344" s="3" t="s">
        <v>289</v>
      </c>
      <c r="C344" s="13" t="str">
        <f t="shared" si="5"/>
        <v>October</v>
      </c>
      <c r="D344" s="3" t="s">
        <v>54</v>
      </c>
      <c r="E344" s="14" t="s">
        <v>839</v>
      </c>
      <c r="F344" s="3" t="s">
        <v>25</v>
      </c>
      <c r="G344" s="3" t="s">
        <v>57</v>
      </c>
      <c r="H344" s="3" t="s">
        <v>14</v>
      </c>
      <c r="I344" s="3">
        <v>4</v>
      </c>
      <c r="J344" s="3">
        <v>202</v>
      </c>
      <c r="K344" s="3">
        <v>808</v>
      </c>
      <c r="L344" s="3" t="s">
        <v>21</v>
      </c>
    </row>
    <row r="345" spans="1:12" x14ac:dyDescent="0.3">
      <c r="A345" s="3" t="s">
        <v>602</v>
      </c>
      <c r="B345" s="3" t="s">
        <v>115</v>
      </c>
      <c r="C345" s="13" t="str">
        <f t="shared" si="5"/>
        <v>May</v>
      </c>
      <c r="D345" s="3" t="s">
        <v>54</v>
      </c>
      <c r="E345" s="14" t="s">
        <v>839</v>
      </c>
      <c r="F345" s="3" t="s">
        <v>30</v>
      </c>
      <c r="G345" s="3" t="s">
        <v>31</v>
      </c>
      <c r="H345" s="3" t="s">
        <v>14</v>
      </c>
      <c r="I345" s="3">
        <v>5</v>
      </c>
      <c r="J345" s="3">
        <v>183</v>
      </c>
      <c r="K345" s="3">
        <v>915</v>
      </c>
      <c r="L345" s="3" t="s">
        <v>38</v>
      </c>
    </row>
    <row r="346" spans="1:12" x14ac:dyDescent="0.3">
      <c r="A346" s="3" t="s">
        <v>603</v>
      </c>
      <c r="B346" s="3" t="s">
        <v>604</v>
      </c>
      <c r="C346" s="13" t="str">
        <f t="shared" si="5"/>
        <v>January</v>
      </c>
      <c r="D346" s="3" t="s">
        <v>51</v>
      </c>
      <c r="E346" s="14" t="s">
        <v>839</v>
      </c>
      <c r="F346" s="3" t="s">
        <v>37</v>
      </c>
      <c r="G346" s="3" t="s">
        <v>57</v>
      </c>
      <c r="H346" s="3" t="s">
        <v>14</v>
      </c>
      <c r="I346" s="3">
        <v>4</v>
      </c>
      <c r="J346" s="3">
        <v>220</v>
      </c>
      <c r="K346" s="3">
        <v>880</v>
      </c>
      <c r="L346" s="3" t="s">
        <v>38</v>
      </c>
    </row>
    <row r="347" spans="1:12" x14ac:dyDescent="0.3">
      <c r="A347" s="3" t="s">
        <v>605</v>
      </c>
      <c r="B347" s="3" t="s">
        <v>219</v>
      </c>
      <c r="C347" s="13" t="str">
        <f t="shared" si="5"/>
        <v>December</v>
      </c>
      <c r="D347" s="3" t="s">
        <v>46</v>
      </c>
      <c r="E347" s="14" t="s">
        <v>839</v>
      </c>
      <c r="F347" s="3" t="s">
        <v>30</v>
      </c>
      <c r="G347" s="3" t="s">
        <v>13</v>
      </c>
      <c r="H347" s="3" t="s">
        <v>14</v>
      </c>
      <c r="I347" s="3">
        <v>5</v>
      </c>
      <c r="J347" s="3">
        <v>166</v>
      </c>
      <c r="K347" s="3">
        <v>830</v>
      </c>
      <c r="L347" s="3" t="s">
        <v>38</v>
      </c>
    </row>
    <row r="348" spans="1:12" x14ac:dyDescent="0.3">
      <c r="A348" s="3" t="s">
        <v>606</v>
      </c>
      <c r="B348" s="3" t="s">
        <v>607</v>
      </c>
      <c r="C348" s="13" t="str">
        <f t="shared" si="5"/>
        <v>November</v>
      </c>
      <c r="D348" s="3" t="s">
        <v>51</v>
      </c>
      <c r="E348" s="14" t="s">
        <v>839</v>
      </c>
      <c r="F348" s="3" t="s">
        <v>30</v>
      </c>
      <c r="G348" s="3" t="s">
        <v>79</v>
      </c>
      <c r="H348" s="3" t="s">
        <v>20</v>
      </c>
      <c r="I348" s="3">
        <v>5</v>
      </c>
      <c r="J348" s="3">
        <v>141</v>
      </c>
      <c r="K348" s="3">
        <v>705</v>
      </c>
      <c r="L348" s="3" t="s">
        <v>38</v>
      </c>
    </row>
    <row r="349" spans="1:12" x14ac:dyDescent="0.3">
      <c r="A349" s="3" t="s">
        <v>608</v>
      </c>
      <c r="B349" s="3" t="s">
        <v>340</v>
      </c>
      <c r="C349" s="13" t="str">
        <f t="shared" si="5"/>
        <v>January</v>
      </c>
      <c r="D349" s="3" t="s">
        <v>18</v>
      </c>
      <c r="E349" s="14" t="s">
        <v>839</v>
      </c>
      <c r="F349" s="3" t="s">
        <v>25</v>
      </c>
      <c r="G349" s="3" t="s">
        <v>66</v>
      </c>
      <c r="H349" s="3" t="s">
        <v>43</v>
      </c>
      <c r="I349" s="3">
        <v>2</v>
      </c>
      <c r="J349" s="3">
        <v>134</v>
      </c>
      <c r="K349" s="3">
        <v>268</v>
      </c>
      <c r="L349" s="3" t="s">
        <v>38</v>
      </c>
    </row>
    <row r="350" spans="1:12" x14ac:dyDescent="0.3">
      <c r="A350" s="3" t="s">
        <v>609</v>
      </c>
      <c r="B350" s="3" t="s">
        <v>365</v>
      </c>
      <c r="C350" s="13" t="str">
        <f t="shared" si="5"/>
        <v>February</v>
      </c>
      <c r="D350" s="3" t="s">
        <v>24</v>
      </c>
      <c r="E350" s="14" t="s">
        <v>839</v>
      </c>
      <c r="F350" s="3" t="s">
        <v>25</v>
      </c>
      <c r="G350" s="3" t="s">
        <v>31</v>
      </c>
      <c r="H350" s="3" t="s">
        <v>14</v>
      </c>
      <c r="I350" s="3">
        <v>3</v>
      </c>
      <c r="J350" s="3">
        <v>203</v>
      </c>
      <c r="K350" s="3">
        <v>609</v>
      </c>
      <c r="L350" s="3" t="s">
        <v>21</v>
      </c>
    </row>
    <row r="351" spans="1:12" x14ac:dyDescent="0.3">
      <c r="A351" s="3" t="s">
        <v>610</v>
      </c>
      <c r="B351" s="3" t="s">
        <v>519</v>
      </c>
      <c r="C351" s="13" t="str">
        <f t="shared" si="5"/>
        <v>July</v>
      </c>
      <c r="D351" s="3" t="s">
        <v>18</v>
      </c>
      <c r="E351" s="14" t="s">
        <v>839</v>
      </c>
      <c r="F351" s="3" t="s">
        <v>25</v>
      </c>
      <c r="G351" s="3" t="s">
        <v>13</v>
      </c>
      <c r="H351" s="3" t="s">
        <v>14</v>
      </c>
      <c r="I351" s="3">
        <v>4</v>
      </c>
      <c r="J351" s="3">
        <v>190</v>
      </c>
      <c r="K351" s="3">
        <v>760</v>
      </c>
      <c r="L351" s="3" t="s">
        <v>32</v>
      </c>
    </row>
    <row r="352" spans="1:12" x14ac:dyDescent="0.3">
      <c r="A352" s="3" t="s">
        <v>611</v>
      </c>
      <c r="B352" s="3" t="s">
        <v>515</v>
      </c>
      <c r="C352" s="13" t="str">
        <f t="shared" si="5"/>
        <v>April</v>
      </c>
      <c r="D352" s="3" t="s">
        <v>54</v>
      </c>
      <c r="E352" s="14" t="s">
        <v>839</v>
      </c>
      <c r="F352" s="3" t="s">
        <v>30</v>
      </c>
      <c r="G352" s="3" t="s">
        <v>74</v>
      </c>
      <c r="H352" s="3" t="s">
        <v>27</v>
      </c>
      <c r="I352" s="3">
        <v>5</v>
      </c>
      <c r="J352" s="3">
        <v>244</v>
      </c>
      <c r="K352" s="3">
        <v>1220</v>
      </c>
      <c r="L352" s="3" t="s">
        <v>21</v>
      </c>
    </row>
    <row r="353" spans="1:12" x14ac:dyDescent="0.3">
      <c r="A353" s="3" t="s">
        <v>612</v>
      </c>
      <c r="B353" s="3" t="s">
        <v>404</v>
      </c>
      <c r="C353" s="13" t="str">
        <f t="shared" si="5"/>
        <v>January</v>
      </c>
      <c r="D353" s="3" t="s">
        <v>18</v>
      </c>
      <c r="E353" s="14" t="s">
        <v>839</v>
      </c>
      <c r="F353" s="3" t="s">
        <v>30</v>
      </c>
      <c r="G353" s="3" t="s">
        <v>74</v>
      </c>
      <c r="H353" s="3" t="s">
        <v>27</v>
      </c>
      <c r="I353" s="3">
        <v>2</v>
      </c>
      <c r="J353" s="3">
        <v>256</v>
      </c>
      <c r="K353" s="3">
        <v>512</v>
      </c>
      <c r="L353" s="3" t="s">
        <v>32</v>
      </c>
    </row>
    <row r="354" spans="1:12" x14ac:dyDescent="0.3">
      <c r="A354" s="3" t="s">
        <v>613</v>
      </c>
      <c r="B354" s="3" t="s">
        <v>614</v>
      </c>
      <c r="C354" s="13" t="str">
        <f t="shared" si="5"/>
        <v>December</v>
      </c>
      <c r="D354" s="3" t="s">
        <v>840</v>
      </c>
      <c r="E354" s="14" t="s">
        <v>839</v>
      </c>
      <c r="F354" s="3" t="s">
        <v>12</v>
      </c>
      <c r="G354" s="3" t="s">
        <v>57</v>
      </c>
      <c r="H354" s="3" t="s">
        <v>14</v>
      </c>
      <c r="I354" s="3">
        <v>4</v>
      </c>
      <c r="J354" s="3">
        <v>196</v>
      </c>
      <c r="K354" s="3">
        <v>784</v>
      </c>
      <c r="L354" s="3" t="s">
        <v>32</v>
      </c>
    </row>
    <row r="355" spans="1:12" x14ac:dyDescent="0.3">
      <c r="A355" s="3" t="s">
        <v>615</v>
      </c>
      <c r="B355" s="3" t="s">
        <v>344</v>
      </c>
      <c r="C355" s="13" t="str">
        <f t="shared" si="5"/>
        <v>April</v>
      </c>
      <c r="D355" s="3" t="s">
        <v>46</v>
      </c>
      <c r="E355" s="14" t="s">
        <v>839</v>
      </c>
      <c r="F355" s="3" t="s">
        <v>37</v>
      </c>
      <c r="G355" s="3" t="s">
        <v>69</v>
      </c>
      <c r="H355" s="3" t="s">
        <v>14</v>
      </c>
      <c r="I355" s="3">
        <v>1</v>
      </c>
      <c r="J355" s="3">
        <v>161</v>
      </c>
      <c r="K355" s="3">
        <v>161</v>
      </c>
      <c r="L355" s="3" t="s">
        <v>38</v>
      </c>
    </row>
    <row r="356" spans="1:12" x14ac:dyDescent="0.3">
      <c r="A356" s="3" t="s">
        <v>616</v>
      </c>
      <c r="B356" s="3" t="s">
        <v>617</v>
      </c>
      <c r="C356" s="13" t="str">
        <f t="shared" si="5"/>
        <v>August</v>
      </c>
      <c r="D356" s="3" t="s">
        <v>54</v>
      </c>
      <c r="E356" s="14" t="s">
        <v>839</v>
      </c>
      <c r="F356" s="3" t="s">
        <v>12</v>
      </c>
      <c r="G356" s="3" t="s">
        <v>19</v>
      </c>
      <c r="H356" s="3" t="s">
        <v>20</v>
      </c>
      <c r="I356" s="3">
        <v>4</v>
      </c>
      <c r="J356" s="3">
        <v>125</v>
      </c>
      <c r="K356" s="3">
        <v>500</v>
      </c>
      <c r="L356" s="3" t="s">
        <v>38</v>
      </c>
    </row>
    <row r="357" spans="1:12" x14ac:dyDescent="0.3">
      <c r="A357" s="3" t="s">
        <v>618</v>
      </c>
      <c r="B357" s="3" t="s">
        <v>211</v>
      </c>
      <c r="C357" s="13" t="str">
        <f t="shared" si="5"/>
        <v>January</v>
      </c>
      <c r="D357" s="3" t="s">
        <v>54</v>
      </c>
      <c r="E357" s="14" t="s">
        <v>839</v>
      </c>
      <c r="F357" s="3" t="s">
        <v>30</v>
      </c>
      <c r="G357" s="3" t="s">
        <v>31</v>
      </c>
      <c r="H357" s="3" t="s">
        <v>14</v>
      </c>
      <c r="I357" s="3">
        <v>5</v>
      </c>
      <c r="J357" s="3">
        <v>207</v>
      </c>
      <c r="K357" s="3">
        <v>1035</v>
      </c>
      <c r="L357" s="3" t="s">
        <v>15</v>
      </c>
    </row>
    <row r="358" spans="1:12" x14ac:dyDescent="0.3">
      <c r="A358" s="3" t="s">
        <v>619</v>
      </c>
      <c r="B358" s="3" t="s">
        <v>620</v>
      </c>
      <c r="C358" s="13" t="str">
        <f t="shared" si="5"/>
        <v>June</v>
      </c>
      <c r="D358" s="3" t="s">
        <v>54</v>
      </c>
      <c r="E358" s="14" t="s">
        <v>839</v>
      </c>
      <c r="F358" s="3" t="s">
        <v>12</v>
      </c>
      <c r="G358" s="3" t="s">
        <v>66</v>
      </c>
      <c r="H358" s="3" t="s">
        <v>43</v>
      </c>
      <c r="I358" s="3">
        <v>1</v>
      </c>
      <c r="J358" s="3">
        <v>128</v>
      </c>
      <c r="K358" s="3">
        <v>128</v>
      </c>
      <c r="L358" s="3" t="s">
        <v>21</v>
      </c>
    </row>
    <row r="359" spans="1:12" x14ac:dyDescent="0.3">
      <c r="A359" s="3" t="s">
        <v>621</v>
      </c>
      <c r="B359" s="3" t="s">
        <v>622</v>
      </c>
      <c r="C359" s="13" t="str">
        <f t="shared" si="5"/>
        <v>January</v>
      </c>
      <c r="D359" s="3" t="s">
        <v>24</v>
      </c>
      <c r="E359" s="14" t="s">
        <v>839</v>
      </c>
      <c r="F359" s="3" t="s">
        <v>37</v>
      </c>
      <c r="G359" s="3" t="s">
        <v>74</v>
      </c>
      <c r="H359" s="3" t="s">
        <v>27</v>
      </c>
      <c r="I359" s="3">
        <v>2</v>
      </c>
      <c r="J359" s="3">
        <v>237</v>
      </c>
      <c r="K359" s="3">
        <v>474</v>
      </c>
      <c r="L359" s="3" t="s">
        <v>21</v>
      </c>
    </row>
    <row r="360" spans="1:12" x14ac:dyDescent="0.3">
      <c r="A360" s="3" t="s">
        <v>623</v>
      </c>
      <c r="B360" s="3" t="s">
        <v>363</v>
      </c>
      <c r="C360" s="13" t="str">
        <f t="shared" si="5"/>
        <v>January</v>
      </c>
      <c r="D360" s="3" t="s">
        <v>46</v>
      </c>
      <c r="E360" s="14" t="s">
        <v>839</v>
      </c>
      <c r="F360" s="3" t="s">
        <v>12</v>
      </c>
      <c r="G360" s="3" t="s">
        <v>57</v>
      </c>
      <c r="H360" s="3" t="s">
        <v>14</v>
      </c>
      <c r="I360" s="3">
        <v>3</v>
      </c>
      <c r="J360" s="3">
        <v>207</v>
      </c>
      <c r="K360" s="3">
        <v>621</v>
      </c>
      <c r="L360" s="3" t="s">
        <v>15</v>
      </c>
    </row>
    <row r="361" spans="1:12" x14ac:dyDescent="0.3">
      <c r="A361" s="3" t="s">
        <v>624</v>
      </c>
      <c r="B361" s="3" t="s">
        <v>549</v>
      </c>
      <c r="C361" s="13" t="str">
        <f t="shared" si="5"/>
        <v>July</v>
      </c>
      <c r="D361" s="3" t="s">
        <v>51</v>
      </c>
      <c r="E361" s="14" t="s">
        <v>839</v>
      </c>
      <c r="F361" s="3" t="s">
        <v>41</v>
      </c>
      <c r="G361" s="3" t="s">
        <v>57</v>
      </c>
      <c r="H361" s="3" t="s">
        <v>14</v>
      </c>
      <c r="I361" s="3">
        <v>3</v>
      </c>
      <c r="J361" s="3">
        <v>206</v>
      </c>
      <c r="K361" s="3">
        <v>618</v>
      </c>
      <c r="L361" s="3" t="s">
        <v>38</v>
      </c>
    </row>
    <row r="362" spans="1:12" x14ac:dyDescent="0.3">
      <c r="A362" s="3" t="s">
        <v>625</v>
      </c>
      <c r="B362" s="3" t="s">
        <v>626</v>
      </c>
      <c r="C362" s="13" t="str">
        <f t="shared" si="5"/>
        <v>April</v>
      </c>
      <c r="D362" s="3" t="s">
        <v>46</v>
      </c>
      <c r="E362" s="14" t="s">
        <v>839</v>
      </c>
      <c r="F362" s="3" t="s">
        <v>30</v>
      </c>
      <c r="G362" s="3" t="s">
        <v>69</v>
      </c>
      <c r="H362" s="3" t="s">
        <v>14</v>
      </c>
      <c r="I362" s="3">
        <v>5</v>
      </c>
      <c r="J362" s="3">
        <v>139</v>
      </c>
      <c r="K362" s="3">
        <v>695</v>
      </c>
      <c r="L362" s="3" t="s">
        <v>15</v>
      </c>
    </row>
    <row r="363" spans="1:12" x14ac:dyDescent="0.3">
      <c r="A363" s="3" t="s">
        <v>627</v>
      </c>
      <c r="B363" s="3" t="s">
        <v>34</v>
      </c>
      <c r="C363" s="13" t="str">
        <f t="shared" si="5"/>
        <v>March</v>
      </c>
      <c r="D363" s="3" t="s">
        <v>51</v>
      </c>
      <c r="E363" s="14" t="s">
        <v>839</v>
      </c>
      <c r="F363" s="3" t="s">
        <v>41</v>
      </c>
      <c r="G363" s="3" t="s">
        <v>69</v>
      </c>
      <c r="H363" s="3" t="s">
        <v>14</v>
      </c>
      <c r="I363" s="3">
        <v>5</v>
      </c>
      <c r="J363" s="3">
        <v>156</v>
      </c>
      <c r="K363" s="3">
        <v>780</v>
      </c>
      <c r="L363" s="3" t="s">
        <v>32</v>
      </c>
    </row>
    <row r="364" spans="1:12" x14ac:dyDescent="0.3">
      <c r="A364" s="3" t="s">
        <v>628</v>
      </c>
      <c r="B364" s="3" t="s">
        <v>629</v>
      </c>
      <c r="C364" s="13" t="str">
        <f t="shared" si="5"/>
        <v>February</v>
      </c>
      <c r="D364" s="3" t="s">
        <v>11</v>
      </c>
      <c r="E364" s="14" t="s">
        <v>839</v>
      </c>
      <c r="F364" s="3" t="s">
        <v>41</v>
      </c>
      <c r="G364" s="3" t="s">
        <v>57</v>
      </c>
      <c r="H364" s="3" t="s">
        <v>14</v>
      </c>
      <c r="I364" s="3">
        <v>1</v>
      </c>
      <c r="J364" s="3">
        <v>225</v>
      </c>
      <c r="K364" s="3">
        <v>225</v>
      </c>
      <c r="L364" s="3" t="s">
        <v>38</v>
      </c>
    </row>
    <row r="365" spans="1:12" x14ac:dyDescent="0.3">
      <c r="A365" s="3" t="s">
        <v>630</v>
      </c>
      <c r="B365" s="3" t="s">
        <v>63</v>
      </c>
      <c r="C365" s="13" t="str">
        <f t="shared" si="5"/>
        <v>December</v>
      </c>
      <c r="D365" s="3" t="s">
        <v>24</v>
      </c>
      <c r="E365" s="14" t="s">
        <v>839</v>
      </c>
      <c r="F365" s="3" t="s">
        <v>12</v>
      </c>
      <c r="G365" s="3" t="s">
        <v>13</v>
      </c>
      <c r="H365" s="3" t="s">
        <v>14</v>
      </c>
      <c r="I365" s="3">
        <v>4</v>
      </c>
      <c r="J365" s="3">
        <v>195</v>
      </c>
      <c r="K365" s="3">
        <v>780</v>
      </c>
      <c r="L365" s="3" t="s">
        <v>32</v>
      </c>
    </row>
    <row r="366" spans="1:12" x14ac:dyDescent="0.3">
      <c r="A366" s="3" t="s">
        <v>631</v>
      </c>
      <c r="B366" s="3" t="s">
        <v>632</v>
      </c>
      <c r="C366" s="13" t="str">
        <f t="shared" si="5"/>
        <v>January</v>
      </c>
      <c r="D366" s="3" t="s">
        <v>51</v>
      </c>
      <c r="E366" s="14" t="s">
        <v>839</v>
      </c>
      <c r="F366" s="3" t="s">
        <v>41</v>
      </c>
      <c r="G366" s="3" t="s">
        <v>66</v>
      </c>
      <c r="H366" s="3" t="s">
        <v>43</v>
      </c>
      <c r="I366" s="3">
        <v>5</v>
      </c>
      <c r="J366" s="3">
        <v>134</v>
      </c>
      <c r="K366" s="3">
        <v>670</v>
      </c>
      <c r="L366" s="3" t="s">
        <v>15</v>
      </c>
    </row>
    <row r="367" spans="1:12" x14ac:dyDescent="0.3">
      <c r="A367" s="3" t="s">
        <v>633</v>
      </c>
      <c r="B367" s="3" t="s">
        <v>634</v>
      </c>
      <c r="C367" s="13" t="str">
        <f t="shared" si="5"/>
        <v>March</v>
      </c>
      <c r="D367" s="3" t="s">
        <v>24</v>
      </c>
      <c r="E367" s="14" t="s">
        <v>839</v>
      </c>
      <c r="F367" s="3" t="s">
        <v>30</v>
      </c>
      <c r="G367" s="3" t="s">
        <v>19</v>
      </c>
      <c r="H367" s="3" t="s">
        <v>20</v>
      </c>
      <c r="I367" s="3">
        <v>2</v>
      </c>
      <c r="J367" s="3">
        <v>140</v>
      </c>
      <c r="K367" s="3">
        <v>280</v>
      </c>
      <c r="L367" s="3" t="s">
        <v>32</v>
      </c>
    </row>
    <row r="368" spans="1:12" x14ac:dyDescent="0.3">
      <c r="A368" s="3" t="s">
        <v>635</v>
      </c>
      <c r="B368" s="3" t="s">
        <v>365</v>
      </c>
      <c r="C368" s="13" t="str">
        <f t="shared" si="5"/>
        <v>February</v>
      </c>
      <c r="D368" s="3" t="s">
        <v>840</v>
      </c>
      <c r="E368" s="14" t="s">
        <v>839</v>
      </c>
      <c r="F368" s="3" t="s">
        <v>25</v>
      </c>
      <c r="G368" s="3" t="s">
        <v>42</v>
      </c>
      <c r="H368" s="3" t="s">
        <v>43</v>
      </c>
      <c r="I368" s="3">
        <v>2</v>
      </c>
      <c r="J368" s="3">
        <v>225</v>
      </c>
      <c r="K368" s="3">
        <v>450</v>
      </c>
      <c r="L368" s="3" t="s">
        <v>21</v>
      </c>
    </row>
    <row r="369" spans="1:12" x14ac:dyDescent="0.3">
      <c r="A369" s="3" t="s">
        <v>636</v>
      </c>
      <c r="B369" s="3" t="s">
        <v>109</v>
      </c>
      <c r="C369" s="13" t="str">
        <f t="shared" si="5"/>
        <v>April</v>
      </c>
      <c r="D369" s="3" t="s">
        <v>24</v>
      </c>
      <c r="E369" s="14" t="s">
        <v>839</v>
      </c>
      <c r="F369" s="3" t="s">
        <v>25</v>
      </c>
      <c r="G369" s="3" t="s">
        <v>31</v>
      </c>
      <c r="H369" s="3" t="s">
        <v>14</v>
      </c>
      <c r="I369" s="3">
        <v>2</v>
      </c>
      <c r="J369" s="3">
        <v>197</v>
      </c>
      <c r="K369" s="3">
        <v>394</v>
      </c>
      <c r="L369" s="3" t="s">
        <v>15</v>
      </c>
    </row>
    <row r="370" spans="1:12" x14ac:dyDescent="0.3">
      <c r="A370" s="3" t="s">
        <v>637</v>
      </c>
      <c r="B370" s="3" t="s">
        <v>437</v>
      </c>
      <c r="C370" s="13" t="str">
        <f t="shared" si="5"/>
        <v>October</v>
      </c>
      <c r="D370" s="3" t="s">
        <v>24</v>
      </c>
      <c r="E370" s="14" t="s">
        <v>839</v>
      </c>
      <c r="F370" s="3" t="s">
        <v>30</v>
      </c>
      <c r="G370" s="3" t="s">
        <v>57</v>
      </c>
      <c r="H370" s="3" t="s">
        <v>14</v>
      </c>
      <c r="I370" s="3">
        <v>5</v>
      </c>
      <c r="J370" s="3">
        <v>196</v>
      </c>
      <c r="K370" s="3">
        <v>980</v>
      </c>
      <c r="L370" s="3" t="s">
        <v>32</v>
      </c>
    </row>
    <row r="371" spans="1:12" x14ac:dyDescent="0.3">
      <c r="A371" s="3" t="s">
        <v>638</v>
      </c>
      <c r="B371" s="3" t="s">
        <v>594</v>
      </c>
      <c r="C371" s="13" t="str">
        <f t="shared" si="5"/>
        <v>January</v>
      </c>
      <c r="D371" s="3" t="s">
        <v>18</v>
      </c>
      <c r="E371" s="14" t="s">
        <v>839</v>
      </c>
      <c r="F371" s="3" t="s">
        <v>41</v>
      </c>
      <c r="G371" s="3" t="s">
        <v>31</v>
      </c>
      <c r="H371" s="3" t="s">
        <v>14</v>
      </c>
      <c r="I371" s="3">
        <v>4</v>
      </c>
      <c r="J371" s="3">
        <v>199</v>
      </c>
      <c r="K371" s="3">
        <v>796</v>
      </c>
      <c r="L371" s="3" t="s">
        <v>32</v>
      </c>
    </row>
    <row r="372" spans="1:12" x14ac:dyDescent="0.3">
      <c r="A372" s="3" t="s">
        <v>639</v>
      </c>
      <c r="B372" s="3" t="s">
        <v>122</v>
      </c>
      <c r="C372" s="13" t="str">
        <f t="shared" si="5"/>
        <v>August</v>
      </c>
      <c r="D372" s="3" t="s">
        <v>51</v>
      </c>
      <c r="E372" s="14" t="s">
        <v>839</v>
      </c>
      <c r="F372" s="3" t="s">
        <v>30</v>
      </c>
      <c r="G372" s="3" t="s">
        <v>79</v>
      </c>
      <c r="H372" s="3" t="s">
        <v>20</v>
      </c>
      <c r="I372" s="3">
        <v>4</v>
      </c>
      <c r="J372" s="3">
        <v>179</v>
      </c>
      <c r="K372" s="3">
        <v>716</v>
      </c>
      <c r="L372" s="3" t="s">
        <v>15</v>
      </c>
    </row>
    <row r="373" spans="1:12" x14ac:dyDescent="0.3">
      <c r="A373" s="3" t="s">
        <v>640</v>
      </c>
      <c r="B373" s="3" t="s">
        <v>161</v>
      </c>
      <c r="C373" s="13" t="str">
        <f t="shared" si="5"/>
        <v>March</v>
      </c>
      <c r="D373" s="3" t="s">
        <v>840</v>
      </c>
      <c r="E373" s="14" t="s">
        <v>839</v>
      </c>
      <c r="F373" s="3" t="s">
        <v>37</v>
      </c>
      <c r="G373" s="3" t="s">
        <v>31</v>
      </c>
      <c r="H373" s="3" t="s">
        <v>14</v>
      </c>
      <c r="I373" s="3">
        <v>4</v>
      </c>
      <c r="J373" s="3">
        <v>197</v>
      </c>
      <c r="K373" s="3">
        <v>788</v>
      </c>
      <c r="L373" s="3" t="s">
        <v>38</v>
      </c>
    </row>
    <row r="374" spans="1:12" x14ac:dyDescent="0.3">
      <c r="A374" s="3" t="s">
        <v>641</v>
      </c>
      <c r="B374" s="3" t="s">
        <v>642</v>
      </c>
      <c r="C374" s="13" t="str">
        <f t="shared" si="5"/>
        <v>June</v>
      </c>
      <c r="D374" s="3" t="s">
        <v>840</v>
      </c>
      <c r="E374" s="14" t="s">
        <v>839</v>
      </c>
      <c r="F374" s="3" t="s">
        <v>41</v>
      </c>
      <c r="G374" s="3" t="s">
        <v>26</v>
      </c>
      <c r="H374" s="3" t="s">
        <v>27</v>
      </c>
      <c r="I374" s="3">
        <v>5</v>
      </c>
      <c r="J374" s="3">
        <v>160</v>
      </c>
      <c r="K374" s="3">
        <v>800</v>
      </c>
      <c r="L374" s="3" t="s">
        <v>32</v>
      </c>
    </row>
    <row r="375" spans="1:12" x14ac:dyDescent="0.3">
      <c r="A375" s="3" t="s">
        <v>643</v>
      </c>
      <c r="B375" s="3" t="s">
        <v>644</v>
      </c>
      <c r="C375" s="13" t="str">
        <f t="shared" si="5"/>
        <v>September</v>
      </c>
      <c r="D375" s="3" t="s">
        <v>46</v>
      </c>
      <c r="E375" s="14" t="s">
        <v>839</v>
      </c>
      <c r="F375" s="3" t="s">
        <v>37</v>
      </c>
      <c r="G375" s="3" t="s">
        <v>74</v>
      </c>
      <c r="H375" s="3" t="s">
        <v>27</v>
      </c>
      <c r="I375" s="3">
        <v>1</v>
      </c>
      <c r="J375" s="3">
        <v>241</v>
      </c>
      <c r="K375" s="3">
        <v>241</v>
      </c>
      <c r="L375" s="3" t="s">
        <v>15</v>
      </c>
    </row>
    <row r="376" spans="1:12" x14ac:dyDescent="0.3">
      <c r="A376" s="3" t="s">
        <v>645</v>
      </c>
      <c r="B376" s="3" t="s">
        <v>113</v>
      </c>
      <c r="C376" s="13" t="str">
        <f t="shared" si="5"/>
        <v>March</v>
      </c>
      <c r="D376" s="3" t="s">
        <v>24</v>
      </c>
      <c r="E376" s="14" t="s">
        <v>839</v>
      </c>
      <c r="F376" s="3" t="s">
        <v>30</v>
      </c>
      <c r="G376" s="3" t="s">
        <v>79</v>
      </c>
      <c r="H376" s="3" t="s">
        <v>20</v>
      </c>
      <c r="I376" s="3">
        <v>1</v>
      </c>
      <c r="J376" s="3">
        <v>142</v>
      </c>
      <c r="K376" s="3">
        <v>142</v>
      </c>
      <c r="L376" s="3" t="s">
        <v>32</v>
      </c>
    </row>
    <row r="377" spans="1:12" x14ac:dyDescent="0.3">
      <c r="A377" s="3" t="s">
        <v>646</v>
      </c>
      <c r="B377" s="3" t="s">
        <v>581</v>
      </c>
      <c r="C377" s="13" t="str">
        <f t="shared" si="5"/>
        <v>July</v>
      </c>
      <c r="D377" s="3" t="s">
        <v>46</v>
      </c>
      <c r="E377" s="14" t="s">
        <v>839</v>
      </c>
      <c r="F377" s="3" t="s">
        <v>25</v>
      </c>
      <c r="G377" s="3" t="s">
        <v>66</v>
      </c>
      <c r="H377" s="3" t="s">
        <v>43</v>
      </c>
      <c r="I377" s="3">
        <v>4</v>
      </c>
      <c r="J377" s="3">
        <v>101</v>
      </c>
      <c r="K377" s="3">
        <v>404</v>
      </c>
      <c r="L377" s="3" t="s">
        <v>21</v>
      </c>
    </row>
    <row r="378" spans="1:12" x14ac:dyDescent="0.3">
      <c r="A378" s="3" t="s">
        <v>647</v>
      </c>
      <c r="B378" s="3" t="s">
        <v>648</v>
      </c>
      <c r="C378" s="13" t="str">
        <f t="shared" si="5"/>
        <v>October</v>
      </c>
      <c r="D378" s="3" t="s">
        <v>840</v>
      </c>
      <c r="E378" s="14" t="s">
        <v>839</v>
      </c>
      <c r="F378" s="3" t="s">
        <v>30</v>
      </c>
      <c r="G378" s="3" t="s">
        <v>69</v>
      </c>
      <c r="H378" s="3" t="s">
        <v>14</v>
      </c>
      <c r="I378" s="3">
        <v>1</v>
      </c>
      <c r="J378" s="3">
        <v>154</v>
      </c>
      <c r="K378" s="3">
        <v>154</v>
      </c>
      <c r="L378" s="3" t="s">
        <v>38</v>
      </c>
    </row>
    <row r="379" spans="1:12" x14ac:dyDescent="0.3">
      <c r="A379" s="3" t="s">
        <v>649</v>
      </c>
      <c r="B379" s="3" t="s">
        <v>650</v>
      </c>
      <c r="C379" s="13" t="str">
        <f t="shared" si="5"/>
        <v>March</v>
      </c>
      <c r="D379" s="3" t="s">
        <v>18</v>
      </c>
      <c r="E379" s="14" t="s">
        <v>839</v>
      </c>
      <c r="F379" s="3" t="s">
        <v>37</v>
      </c>
      <c r="G379" s="3" t="s">
        <v>69</v>
      </c>
      <c r="H379" s="3" t="s">
        <v>14</v>
      </c>
      <c r="I379" s="3">
        <v>3</v>
      </c>
      <c r="J379" s="3">
        <v>151</v>
      </c>
      <c r="K379" s="3">
        <v>453</v>
      </c>
      <c r="L379" s="3" t="s">
        <v>15</v>
      </c>
    </row>
    <row r="380" spans="1:12" x14ac:dyDescent="0.3">
      <c r="A380" s="3" t="s">
        <v>651</v>
      </c>
      <c r="B380" s="3" t="s">
        <v>652</v>
      </c>
      <c r="C380" s="13" t="str">
        <f t="shared" si="5"/>
        <v>September</v>
      </c>
      <c r="D380" s="3" t="s">
        <v>840</v>
      </c>
      <c r="E380" s="14" t="s">
        <v>839</v>
      </c>
      <c r="F380" s="3" t="s">
        <v>30</v>
      </c>
      <c r="G380" s="3" t="s">
        <v>79</v>
      </c>
      <c r="H380" s="3" t="s">
        <v>20</v>
      </c>
      <c r="I380" s="3">
        <v>1</v>
      </c>
      <c r="J380" s="3">
        <v>180</v>
      </c>
      <c r="K380" s="3">
        <v>180</v>
      </c>
      <c r="L380" s="3" t="s">
        <v>38</v>
      </c>
    </row>
    <row r="381" spans="1:12" x14ac:dyDescent="0.3">
      <c r="A381" s="3" t="s">
        <v>653</v>
      </c>
      <c r="B381" s="3" t="s">
        <v>89</v>
      </c>
      <c r="C381" s="13" t="str">
        <f t="shared" si="5"/>
        <v>October</v>
      </c>
      <c r="D381" s="3" t="s">
        <v>24</v>
      </c>
      <c r="E381" s="14" t="s">
        <v>839</v>
      </c>
      <c r="F381" s="3" t="s">
        <v>25</v>
      </c>
      <c r="G381" s="3" t="s">
        <v>57</v>
      </c>
      <c r="H381" s="3" t="s">
        <v>14</v>
      </c>
      <c r="I381" s="3">
        <v>2</v>
      </c>
      <c r="J381" s="3">
        <v>228</v>
      </c>
      <c r="K381" s="3">
        <v>456</v>
      </c>
      <c r="L381" s="3" t="s">
        <v>38</v>
      </c>
    </row>
    <row r="382" spans="1:12" x14ac:dyDescent="0.3">
      <c r="A382" s="3" t="s">
        <v>654</v>
      </c>
      <c r="B382" s="3" t="s">
        <v>655</v>
      </c>
      <c r="C382" s="13" t="str">
        <f t="shared" si="5"/>
        <v>October</v>
      </c>
      <c r="D382" s="3" t="s">
        <v>51</v>
      </c>
      <c r="E382" s="14" t="s">
        <v>839</v>
      </c>
      <c r="F382" s="3" t="s">
        <v>30</v>
      </c>
      <c r="G382" s="3" t="s">
        <v>42</v>
      </c>
      <c r="H382" s="3" t="s">
        <v>43</v>
      </c>
      <c r="I382" s="3">
        <v>2</v>
      </c>
      <c r="J382" s="3">
        <v>232</v>
      </c>
      <c r="K382" s="3">
        <v>464</v>
      </c>
      <c r="L382" s="3" t="s">
        <v>38</v>
      </c>
    </row>
    <row r="383" spans="1:12" x14ac:dyDescent="0.3">
      <c r="A383" s="3" t="s">
        <v>656</v>
      </c>
      <c r="B383" s="3" t="s">
        <v>217</v>
      </c>
      <c r="C383" s="13" t="str">
        <f t="shared" si="5"/>
        <v>July</v>
      </c>
      <c r="D383" s="3" t="s">
        <v>24</v>
      </c>
      <c r="E383" s="14" t="s">
        <v>839</v>
      </c>
      <c r="F383" s="3" t="s">
        <v>25</v>
      </c>
      <c r="G383" s="3" t="s">
        <v>66</v>
      </c>
      <c r="H383" s="3" t="s">
        <v>43</v>
      </c>
      <c r="I383" s="3">
        <v>2</v>
      </c>
      <c r="J383" s="3">
        <v>111</v>
      </c>
      <c r="K383" s="3">
        <v>222</v>
      </c>
      <c r="L383" s="3" t="s">
        <v>32</v>
      </c>
    </row>
    <row r="384" spans="1:12" x14ac:dyDescent="0.3">
      <c r="A384" s="3" t="s">
        <v>657</v>
      </c>
      <c r="B384" s="3" t="s">
        <v>632</v>
      </c>
      <c r="C384" s="13" t="str">
        <f t="shared" si="5"/>
        <v>January</v>
      </c>
      <c r="D384" s="3" t="s">
        <v>24</v>
      </c>
      <c r="E384" s="14" t="s">
        <v>839</v>
      </c>
      <c r="F384" s="3" t="s">
        <v>30</v>
      </c>
      <c r="G384" s="3" t="s">
        <v>19</v>
      </c>
      <c r="H384" s="3" t="s">
        <v>20</v>
      </c>
      <c r="I384" s="3">
        <v>1</v>
      </c>
      <c r="J384" s="3">
        <v>147</v>
      </c>
      <c r="K384" s="3">
        <v>147</v>
      </c>
      <c r="L384" s="3" t="s">
        <v>32</v>
      </c>
    </row>
    <row r="385" spans="1:12" x14ac:dyDescent="0.3">
      <c r="A385" s="3" t="s">
        <v>658</v>
      </c>
      <c r="B385" s="3" t="s">
        <v>442</v>
      </c>
      <c r="C385" s="13" t="str">
        <f t="shared" si="5"/>
        <v>August</v>
      </c>
      <c r="D385" s="3" t="s">
        <v>11</v>
      </c>
      <c r="E385" s="14" t="s">
        <v>839</v>
      </c>
      <c r="F385" s="3" t="s">
        <v>37</v>
      </c>
      <c r="G385" s="3" t="s">
        <v>31</v>
      </c>
      <c r="H385" s="3" t="s">
        <v>14</v>
      </c>
      <c r="I385" s="3">
        <v>1</v>
      </c>
      <c r="J385" s="3">
        <v>191</v>
      </c>
      <c r="K385" s="3">
        <v>191</v>
      </c>
      <c r="L385" s="3" t="s">
        <v>32</v>
      </c>
    </row>
    <row r="386" spans="1:12" x14ac:dyDescent="0.3">
      <c r="A386" s="3" t="s">
        <v>659</v>
      </c>
      <c r="B386" s="3" t="s">
        <v>326</v>
      </c>
      <c r="C386" s="13" t="str">
        <f t="shared" si="5"/>
        <v>June</v>
      </c>
      <c r="D386" s="3" t="s">
        <v>840</v>
      </c>
      <c r="E386" s="14" t="s">
        <v>839</v>
      </c>
      <c r="F386" s="3" t="s">
        <v>37</v>
      </c>
      <c r="G386" s="3" t="s">
        <v>13</v>
      </c>
      <c r="H386" s="3" t="s">
        <v>14</v>
      </c>
      <c r="I386" s="3">
        <v>3</v>
      </c>
      <c r="J386" s="3">
        <v>178</v>
      </c>
      <c r="K386" s="3">
        <v>534</v>
      </c>
      <c r="L386" s="3" t="s">
        <v>15</v>
      </c>
    </row>
    <row r="387" spans="1:12" x14ac:dyDescent="0.3">
      <c r="A387" s="3" t="s">
        <v>660</v>
      </c>
      <c r="B387" s="3" t="s">
        <v>537</v>
      </c>
      <c r="C387" s="13" t="str">
        <f t="shared" ref="C387:C450" si="6">TEXT(B387,"mmmm")</f>
        <v>October</v>
      </c>
      <c r="D387" s="3" t="s">
        <v>840</v>
      </c>
      <c r="E387" s="14" t="s">
        <v>839</v>
      </c>
      <c r="F387" s="3" t="s">
        <v>25</v>
      </c>
      <c r="G387" s="3" t="s">
        <v>66</v>
      </c>
      <c r="H387" s="3" t="s">
        <v>43</v>
      </c>
      <c r="I387" s="3">
        <v>1</v>
      </c>
      <c r="J387" s="3">
        <v>110</v>
      </c>
      <c r="K387" s="3">
        <v>110</v>
      </c>
      <c r="L387" s="3" t="s">
        <v>15</v>
      </c>
    </row>
    <row r="388" spans="1:12" x14ac:dyDescent="0.3">
      <c r="A388" s="3" t="s">
        <v>661</v>
      </c>
      <c r="B388" s="3" t="s">
        <v>563</v>
      </c>
      <c r="C388" s="13" t="str">
        <f t="shared" si="6"/>
        <v>January</v>
      </c>
      <c r="D388" s="3" t="s">
        <v>18</v>
      </c>
      <c r="E388" s="14" t="s">
        <v>839</v>
      </c>
      <c r="F388" s="3" t="s">
        <v>37</v>
      </c>
      <c r="G388" s="3" t="s">
        <v>74</v>
      </c>
      <c r="H388" s="3" t="s">
        <v>27</v>
      </c>
      <c r="I388" s="3">
        <v>5</v>
      </c>
      <c r="J388" s="3">
        <v>266</v>
      </c>
      <c r="K388" s="3">
        <v>1330</v>
      </c>
      <c r="L388" s="3" t="s">
        <v>15</v>
      </c>
    </row>
    <row r="389" spans="1:12" x14ac:dyDescent="0.3">
      <c r="A389" s="3" t="s">
        <v>662</v>
      </c>
      <c r="B389" s="3" t="s">
        <v>295</v>
      </c>
      <c r="C389" s="13" t="str">
        <f t="shared" si="6"/>
        <v>March</v>
      </c>
      <c r="D389" s="3" t="s">
        <v>18</v>
      </c>
      <c r="E389" s="14" t="s">
        <v>839</v>
      </c>
      <c r="F389" s="3" t="s">
        <v>30</v>
      </c>
      <c r="G389" s="3" t="s">
        <v>13</v>
      </c>
      <c r="H389" s="3" t="s">
        <v>14</v>
      </c>
      <c r="I389" s="3">
        <v>1</v>
      </c>
      <c r="J389" s="3">
        <v>185</v>
      </c>
      <c r="K389" s="3">
        <v>185</v>
      </c>
      <c r="L389" s="3" t="s">
        <v>15</v>
      </c>
    </row>
    <row r="390" spans="1:12" x14ac:dyDescent="0.3">
      <c r="A390" s="3" t="s">
        <v>663</v>
      </c>
      <c r="B390" s="3" t="s">
        <v>542</v>
      </c>
      <c r="C390" s="13" t="str">
        <f t="shared" si="6"/>
        <v>June</v>
      </c>
      <c r="D390" s="3" t="s">
        <v>11</v>
      </c>
      <c r="E390" s="14" t="s">
        <v>839</v>
      </c>
      <c r="F390" s="3" t="s">
        <v>12</v>
      </c>
      <c r="G390" s="3" t="s">
        <v>74</v>
      </c>
      <c r="H390" s="3" t="s">
        <v>27</v>
      </c>
      <c r="I390" s="3">
        <v>3</v>
      </c>
      <c r="J390" s="3">
        <v>231</v>
      </c>
      <c r="K390" s="3">
        <v>693</v>
      </c>
      <c r="L390" s="3" t="s">
        <v>15</v>
      </c>
    </row>
    <row r="391" spans="1:12" x14ac:dyDescent="0.3">
      <c r="A391" s="3" t="s">
        <v>664</v>
      </c>
      <c r="B391" s="3" t="s">
        <v>665</v>
      </c>
      <c r="C391" s="13" t="str">
        <f t="shared" si="6"/>
        <v>September</v>
      </c>
      <c r="D391" s="3" t="s">
        <v>54</v>
      </c>
      <c r="E391" s="14" t="s">
        <v>839</v>
      </c>
      <c r="F391" s="3" t="s">
        <v>30</v>
      </c>
      <c r="G391" s="3" t="s">
        <v>42</v>
      </c>
      <c r="H391" s="3" t="s">
        <v>43</v>
      </c>
      <c r="I391" s="3">
        <v>5</v>
      </c>
      <c r="J391" s="3">
        <v>220</v>
      </c>
      <c r="K391" s="3">
        <v>1100</v>
      </c>
      <c r="L391" s="3" t="s">
        <v>32</v>
      </c>
    </row>
    <row r="392" spans="1:12" x14ac:dyDescent="0.3">
      <c r="A392" s="3" t="s">
        <v>666</v>
      </c>
      <c r="B392" s="3" t="s">
        <v>187</v>
      </c>
      <c r="C392" s="13" t="str">
        <f t="shared" si="6"/>
        <v>April</v>
      </c>
      <c r="D392" s="3" t="s">
        <v>54</v>
      </c>
      <c r="E392" s="14" t="s">
        <v>839</v>
      </c>
      <c r="F392" s="3" t="s">
        <v>37</v>
      </c>
      <c r="G392" s="3" t="s">
        <v>74</v>
      </c>
      <c r="H392" s="3" t="s">
        <v>27</v>
      </c>
      <c r="I392" s="3">
        <v>4</v>
      </c>
      <c r="J392" s="3">
        <v>243</v>
      </c>
      <c r="K392" s="3">
        <v>972</v>
      </c>
      <c r="L392" s="3" t="s">
        <v>21</v>
      </c>
    </row>
    <row r="393" spans="1:12" x14ac:dyDescent="0.3">
      <c r="A393" s="3" t="s">
        <v>667</v>
      </c>
      <c r="B393" s="3" t="s">
        <v>668</v>
      </c>
      <c r="C393" s="13" t="str">
        <f t="shared" si="6"/>
        <v>December</v>
      </c>
      <c r="D393" s="3" t="s">
        <v>24</v>
      </c>
      <c r="E393" s="14" t="s">
        <v>839</v>
      </c>
      <c r="F393" s="3" t="s">
        <v>25</v>
      </c>
      <c r="G393" s="3" t="s">
        <v>57</v>
      </c>
      <c r="H393" s="3" t="s">
        <v>14</v>
      </c>
      <c r="I393" s="3">
        <v>1</v>
      </c>
      <c r="J393" s="3">
        <v>212</v>
      </c>
      <c r="K393" s="3">
        <v>212</v>
      </c>
      <c r="L393" s="3" t="s">
        <v>38</v>
      </c>
    </row>
    <row r="394" spans="1:12" x14ac:dyDescent="0.3">
      <c r="A394" s="3" t="s">
        <v>669</v>
      </c>
      <c r="B394" s="3" t="s">
        <v>375</v>
      </c>
      <c r="C394" s="13" t="str">
        <f t="shared" si="6"/>
        <v>October</v>
      </c>
      <c r="D394" s="3" t="s">
        <v>18</v>
      </c>
      <c r="E394" s="14" t="s">
        <v>839</v>
      </c>
      <c r="F394" s="3" t="s">
        <v>41</v>
      </c>
      <c r="G394" s="3" t="s">
        <v>69</v>
      </c>
      <c r="H394" s="3" t="s">
        <v>14</v>
      </c>
      <c r="I394" s="3">
        <v>3</v>
      </c>
      <c r="J394" s="3">
        <v>151</v>
      </c>
      <c r="K394" s="3">
        <v>453</v>
      </c>
      <c r="L394" s="3" t="s">
        <v>32</v>
      </c>
    </row>
    <row r="395" spans="1:12" x14ac:dyDescent="0.3">
      <c r="A395" s="3" t="s">
        <v>670</v>
      </c>
      <c r="B395" s="3" t="s">
        <v>143</v>
      </c>
      <c r="C395" s="13" t="str">
        <f t="shared" si="6"/>
        <v>August</v>
      </c>
      <c r="D395" s="3" t="s">
        <v>46</v>
      </c>
      <c r="E395" s="14" t="s">
        <v>839</v>
      </c>
      <c r="F395" s="3" t="s">
        <v>30</v>
      </c>
      <c r="G395" s="3" t="s">
        <v>31</v>
      </c>
      <c r="H395" s="3" t="s">
        <v>14</v>
      </c>
      <c r="I395" s="3">
        <v>1</v>
      </c>
      <c r="J395" s="3">
        <v>180</v>
      </c>
      <c r="K395" s="3">
        <v>180</v>
      </c>
      <c r="L395" s="3" t="s">
        <v>15</v>
      </c>
    </row>
    <row r="396" spans="1:12" x14ac:dyDescent="0.3">
      <c r="A396" s="3" t="s">
        <v>671</v>
      </c>
      <c r="B396" s="3" t="s">
        <v>672</v>
      </c>
      <c r="C396" s="13" t="str">
        <f t="shared" si="6"/>
        <v>April</v>
      </c>
      <c r="D396" s="3" t="s">
        <v>11</v>
      </c>
      <c r="E396" s="14" t="s">
        <v>839</v>
      </c>
      <c r="F396" s="3" t="s">
        <v>25</v>
      </c>
      <c r="G396" s="3" t="s">
        <v>79</v>
      </c>
      <c r="H396" s="3" t="s">
        <v>20</v>
      </c>
      <c r="I396" s="3">
        <v>2</v>
      </c>
      <c r="J396" s="3">
        <v>146</v>
      </c>
      <c r="K396" s="3">
        <v>292</v>
      </c>
      <c r="L396" s="3" t="s">
        <v>38</v>
      </c>
    </row>
    <row r="397" spans="1:12" x14ac:dyDescent="0.3">
      <c r="A397" s="3" t="s">
        <v>673</v>
      </c>
      <c r="B397" s="3" t="s">
        <v>572</v>
      </c>
      <c r="C397" s="13" t="str">
        <f t="shared" si="6"/>
        <v>November</v>
      </c>
      <c r="D397" s="3" t="s">
        <v>18</v>
      </c>
      <c r="E397" s="14" t="s">
        <v>839</v>
      </c>
      <c r="F397" s="3" t="s">
        <v>12</v>
      </c>
      <c r="G397" s="3" t="s">
        <v>42</v>
      </c>
      <c r="H397" s="3" t="s">
        <v>43</v>
      </c>
      <c r="I397" s="3">
        <v>2</v>
      </c>
      <c r="J397" s="3">
        <v>202</v>
      </c>
      <c r="K397" s="3">
        <v>404</v>
      </c>
      <c r="L397" s="3" t="s">
        <v>32</v>
      </c>
    </row>
    <row r="398" spans="1:12" x14ac:dyDescent="0.3">
      <c r="A398" s="3" t="s">
        <v>674</v>
      </c>
      <c r="B398" s="3" t="s">
        <v>93</v>
      </c>
      <c r="C398" s="13" t="str">
        <f t="shared" si="6"/>
        <v>October</v>
      </c>
      <c r="D398" s="3" t="s">
        <v>51</v>
      </c>
      <c r="E398" s="14" t="s">
        <v>839</v>
      </c>
      <c r="F398" s="3" t="s">
        <v>12</v>
      </c>
      <c r="G398" s="3" t="s">
        <v>13</v>
      </c>
      <c r="H398" s="3" t="s">
        <v>14</v>
      </c>
      <c r="I398" s="3">
        <v>2</v>
      </c>
      <c r="J398" s="3">
        <v>194</v>
      </c>
      <c r="K398" s="3">
        <v>388</v>
      </c>
      <c r="L398" s="3" t="s">
        <v>32</v>
      </c>
    </row>
    <row r="399" spans="1:12" x14ac:dyDescent="0.3">
      <c r="A399" s="3" t="s">
        <v>675</v>
      </c>
      <c r="B399" s="3" t="s">
        <v>676</v>
      </c>
      <c r="C399" s="13" t="str">
        <f t="shared" si="6"/>
        <v>February</v>
      </c>
      <c r="D399" s="3" t="s">
        <v>18</v>
      </c>
      <c r="E399" s="14" t="s">
        <v>839</v>
      </c>
      <c r="F399" s="3" t="s">
        <v>25</v>
      </c>
      <c r="G399" s="3" t="s">
        <v>57</v>
      </c>
      <c r="H399" s="3" t="s">
        <v>14</v>
      </c>
      <c r="I399" s="3">
        <v>1</v>
      </c>
      <c r="J399" s="3">
        <v>194</v>
      </c>
      <c r="K399" s="3">
        <v>194</v>
      </c>
      <c r="L399" s="3" t="s">
        <v>15</v>
      </c>
    </row>
    <row r="400" spans="1:12" x14ac:dyDescent="0.3">
      <c r="A400" s="3" t="s">
        <v>677</v>
      </c>
      <c r="B400" s="3" t="s">
        <v>678</v>
      </c>
      <c r="C400" s="13" t="str">
        <f t="shared" si="6"/>
        <v>November</v>
      </c>
      <c r="D400" s="3" t="s">
        <v>840</v>
      </c>
      <c r="E400" s="14" t="s">
        <v>839</v>
      </c>
      <c r="F400" s="3" t="s">
        <v>25</v>
      </c>
      <c r="G400" s="3" t="s">
        <v>57</v>
      </c>
      <c r="H400" s="3" t="s">
        <v>14</v>
      </c>
      <c r="I400" s="3">
        <v>2</v>
      </c>
      <c r="J400" s="3">
        <v>207</v>
      </c>
      <c r="K400" s="3">
        <v>414</v>
      </c>
      <c r="L400" s="3" t="s">
        <v>32</v>
      </c>
    </row>
    <row r="401" spans="1:12" x14ac:dyDescent="0.3">
      <c r="A401" s="3" t="s">
        <v>679</v>
      </c>
      <c r="B401" s="3" t="s">
        <v>448</v>
      </c>
      <c r="C401" s="13" t="str">
        <f t="shared" si="6"/>
        <v>October</v>
      </c>
      <c r="D401" s="3" t="s">
        <v>840</v>
      </c>
      <c r="E401" s="14" t="s">
        <v>839</v>
      </c>
      <c r="F401" s="3" t="s">
        <v>37</v>
      </c>
      <c r="G401" s="3" t="s">
        <v>31</v>
      </c>
      <c r="H401" s="3" t="s">
        <v>14</v>
      </c>
      <c r="I401" s="3">
        <v>2</v>
      </c>
      <c r="J401" s="3">
        <v>215</v>
      </c>
      <c r="K401" s="3">
        <v>430</v>
      </c>
      <c r="L401" s="3" t="s">
        <v>32</v>
      </c>
    </row>
    <row r="402" spans="1:12" x14ac:dyDescent="0.3">
      <c r="A402" s="3" t="s">
        <v>680</v>
      </c>
      <c r="B402" s="3" t="s">
        <v>118</v>
      </c>
      <c r="C402" s="13" t="str">
        <f t="shared" si="6"/>
        <v>June</v>
      </c>
      <c r="D402" s="3" t="s">
        <v>54</v>
      </c>
      <c r="E402" s="14" t="s">
        <v>839</v>
      </c>
      <c r="F402" s="3" t="s">
        <v>25</v>
      </c>
      <c r="G402" s="3" t="s">
        <v>74</v>
      </c>
      <c r="H402" s="3" t="s">
        <v>27</v>
      </c>
      <c r="I402" s="3">
        <v>5</v>
      </c>
      <c r="J402" s="3">
        <v>268</v>
      </c>
      <c r="K402" s="3">
        <v>1340</v>
      </c>
      <c r="L402" s="3" t="s">
        <v>32</v>
      </c>
    </row>
    <row r="403" spans="1:12" x14ac:dyDescent="0.3">
      <c r="A403" s="3" t="s">
        <v>681</v>
      </c>
      <c r="B403" s="3" t="s">
        <v>256</v>
      </c>
      <c r="C403" s="13" t="str">
        <f t="shared" si="6"/>
        <v>February</v>
      </c>
      <c r="D403" s="3" t="s">
        <v>51</v>
      </c>
      <c r="E403" s="14" t="s">
        <v>839</v>
      </c>
      <c r="F403" s="3" t="s">
        <v>37</v>
      </c>
      <c r="G403" s="3" t="s">
        <v>79</v>
      </c>
      <c r="H403" s="3" t="s">
        <v>20</v>
      </c>
      <c r="I403" s="3">
        <v>4</v>
      </c>
      <c r="J403" s="3">
        <v>172</v>
      </c>
      <c r="K403" s="3">
        <v>688</v>
      </c>
      <c r="L403" s="3" t="s">
        <v>15</v>
      </c>
    </row>
    <row r="404" spans="1:12" x14ac:dyDescent="0.3">
      <c r="A404" s="3" t="s">
        <v>682</v>
      </c>
      <c r="B404" s="3" t="s">
        <v>683</v>
      </c>
      <c r="C404" s="13" t="str">
        <f t="shared" si="6"/>
        <v>October</v>
      </c>
      <c r="D404" s="3" t="s">
        <v>54</v>
      </c>
      <c r="E404" s="14" t="s">
        <v>839</v>
      </c>
      <c r="F404" s="3" t="s">
        <v>30</v>
      </c>
      <c r="G404" s="3" t="s">
        <v>26</v>
      </c>
      <c r="H404" s="3" t="s">
        <v>27</v>
      </c>
      <c r="I404" s="3">
        <v>2</v>
      </c>
      <c r="J404" s="3">
        <v>180</v>
      </c>
      <c r="K404" s="3">
        <v>360</v>
      </c>
      <c r="L404" s="3" t="s">
        <v>32</v>
      </c>
    </row>
    <row r="405" spans="1:12" x14ac:dyDescent="0.3">
      <c r="A405" s="3" t="s">
        <v>684</v>
      </c>
      <c r="B405" s="3" t="s">
        <v>504</v>
      </c>
      <c r="C405" s="13" t="str">
        <f t="shared" si="6"/>
        <v>April</v>
      </c>
      <c r="D405" s="3" t="s">
        <v>18</v>
      </c>
      <c r="E405" s="14" t="s">
        <v>839</v>
      </c>
      <c r="F405" s="3" t="s">
        <v>41</v>
      </c>
      <c r="G405" s="3" t="s">
        <v>79</v>
      </c>
      <c r="H405" s="3" t="s">
        <v>20</v>
      </c>
      <c r="I405" s="3">
        <v>4</v>
      </c>
      <c r="J405" s="3">
        <v>142</v>
      </c>
      <c r="K405" s="3">
        <v>568</v>
      </c>
      <c r="L405" s="3" t="s">
        <v>15</v>
      </c>
    </row>
    <row r="406" spans="1:12" x14ac:dyDescent="0.3">
      <c r="A406" s="3" t="s">
        <v>685</v>
      </c>
      <c r="B406" s="3" t="s">
        <v>351</v>
      </c>
      <c r="C406" s="13" t="str">
        <f t="shared" si="6"/>
        <v>June</v>
      </c>
      <c r="D406" s="3" t="s">
        <v>46</v>
      </c>
      <c r="E406" s="14" t="s">
        <v>839</v>
      </c>
      <c r="F406" s="3" t="s">
        <v>12</v>
      </c>
      <c r="G406" s="3" t="s">
        <v>69</v>
      </c>
      <c r="H406" s="3" t="s">
        <v>14</v>
      </c>
      <c r="I406" s="3">
        <v>3</v>
      </c>
      <c r="J406" s="3">
        <v>163</v>
      </c>
      <c r="K406" s="3">
        <v>489</v>
      </c>
      <c r="L406" s="3" t="s">
        <v>21</v>
      </c>
    </row>
    <row r="407" spans="1:12" x14ac:dyDescent="0.3">
      <c r="A407" s="3" t="s">
        <v>686</v>
      </c>
      <c r="B407" s="3" t="s">
        <v>470</v>
      </c>
      <c r="C407" s="13" t="str">
        <f t="shared" si="6"/>
        <v>September</v>
      </c>
      <c r="D407" s="3" t="s">
        <v>51</v>
      </c>
      <c r="E407" s="14" t="s">
        <v>839</v>
      </c>
      <c r="F407" s="3" t="s">
        <v>12</v>
      </c>
      <c r="G407" s="3" t="s">
        <v>19</v>
      </c>
      <c r="H407" s="3" t="s">
        <v>20</v>
      </c>
      <c r="I407" s="3">
        <v>3</v>
      </c>
      <c r="J407" s="3">
        <v>140</v>
      </c>
      <c r="K407" s="3">
        <v>420</v>
      </c>
      <c r="L407" s="3" t="s">
        <v>15</v>
      </c>
    </row>
    <row r="408" spans="1:12" x14ac:dyDescent="0.3">
      <c r="A408" s="3" t="s">
        <v>687</v>
      </c>
      <c r="B408" s="3" t="s">
        <v>181</v>
      </c>
      <c r="C408" s="13" t="str">
        <f t="shared" si="6"/>
        <v>April</v>
      </c>
      <c r="D408" s="3" t="s">
        <v>24</v>
      </c>
      <c r="E408" s="14" t="s">
        <v>839</v>
      </c>
      <c r="F408" s="3" t="s">
        <v>30</v>
      </c>
      <c r="G408" s="3" t="s">
        <v>57</v>
      </c>
      <c r="H408" s="3" t="s">
        <v>14</v>
      </c>
      <c r="I408" s="3">
        <v>3</v>
      </c>
      <c r="J408" s="3">
        <v>197</v>
      </c>
      <c r="K408" s="3">
        <v>591</v>
      </c>
      <c r="L408" s="3" t="s">
        <v>32</v>
      </c>
    </row>
    <row r="409" spans="1:12" x14ac:dyDescent="0.3">
      <c r="A409" s="3" t="s">
        <v>688</v>
      </c>
      <c r="B409" s="3" t="s">
        <v>297</v>
      </c>
      <c r="C409" s="13" t="str">
        <f t="shared" si="6"/>
        <v>July</v>
      </c>
      <c r="D409" s="3" t="s">
        <v>18</v>
      </c>
      <c r="E409" s="14" t="s">
        <v>839</v>
      </c>
      <c r="F409" s="3" t="s">
        <v>12</v>
      </c>
      <c r="G409" s="3" t="s">
        <v>26</v>
      </c>
      <c r="H409" s="3" t="s">
        <v>27</v>
      </c>
      <c r="I409" s="3">
        <v>2</v>
      </c>
      <c r="J409" s="3">
        <v>187</v>
      </c>
      <c r="K409" s="3">
        <v>374</v>
      </c>
      <c r="L409" s="3" t="s">
        <v>38</v>
      </c>
    </row>
    <row r="410" spans="1:12" x14ac:dyDescent="0.3">
      <c r="A410" s="3" t="s">
        <v>689</v>
      </c>
      <c r="B410" s="3" t="s">
        <v>415</v>
      </c>
      <c r="C410" s="13" t="str">
        <f t="shared" si="6"/>
        <v>June</v>
      </c>
      <c r="D410" s="3" t="s">
        <v>24</v>
      </c>
      <c r="E410" s="14" t="s">
        <v>839</v>
      </c>
      <c r="F410" s="3" t="s">
        <v>41</v>
      </c>
      <c r="G410" s="3" t="s">
        <v>57</v>
      </c>
      <c r="H410" s="3" t="s">
        <v>14</v>
      </c>
      <c r="I410" s="3">
        <v>1</v>
      </c>
      <c r="J410" s="3">
        <v>191</v>
      </c>
      <c r="K410" s="3">
        <v>191</v>
      </c>
      <c r="L410" s="3" t="s">
        <v>38</v>
      </c>
    </row>
    <row r="411" spans="1:12" x14ac:dyDescent="0.3">
      <c r="A411" s="3" t="s">
        <v>690</v>
      </c>
      <c r="B411" s="3" t="s">
        <v>95</v>
      </c>
      <c r="C411" s="13" t="str">
        <f t="shared" si="6"/>
        <v>September</v>
      </c>
      <c r="D411" s="3" t="s">
        <v>54</v>
      </c>
      <c r="E411" s="14" t="s">
        <v>839</v>
      </c>
      <c r="F411" s="3" t="s">
        <v>12</v>
      </c>
      <c r="G411" s="3" t="s">
        <v>31</v>
      </c>
      <c r="H411" s="3" t="s">
        <v>14</v>
      </c>
      <c r="I411" s="3">
        <v>3</v>
      </c>
      <c r="J411" s="3">
        <v>200</v>
      </c>
      <c r="K411" s="3">
        <v>600</v>
      </c>
      <c r="L411" s="3" t="s">
        <v>21</v>
      </c>
    </row>
    <row r="412" spans="1:12" x14ac:dyDescent="0.3">
      <c r="A412" s="3" t="s">
        <v>691</v>
      </c>
      <c r="B412" s="3" t="s">
        <v>692</v>
      </c>
      <c r="C412" s="13" t="str">
        <f t="shared" si="6"/>
        <v>December</v>
      </c>
      <c r="D412" s="3" t="s">
        <v>51</v>
      </c>
      <c r="E412" s="14" t="s">
        <v>839</v>
      </c>
      <c r="F412" s="3" t="s">
        <v>41</v>
      </c>
      <c r="G412" s="3" t="s">
        <v>42</v>
      </c>
      <c r="H412" s="3" t="s">
        <v>43</v>
      </c>
      <c r="I412" s="3">
        <v>5</v>
      </c>
      <c r="J412" s="3">
        <v>201</v>
      </c>
      <c r="K412" s="3">
        <v>1005</v>
      </c>
      <c r="L412" s="3" t="s">
        <v>15</v>
      </c>
    </row>
    <row r="413" spans="1:12" x14ac:dyDescent="0.3">
      <c r="A413" s="3" t="s">
        <v>693</v>
      </c>
      <c r="B413" s="3" t="s">
        <v>270</v>
      </c>
      <c r="C413" s="13" t="str">
        <f t="shared" si="6"/>
        <v>August</v>
      </c>
      <c r="D413" s="3" t="s">
        <v>840</v>
      </c>
      <c r="E413" s="14" t="s">
        <v>839</v>
      </c>
      <c r="F413" s="3" t="s">
        <v>37</v>
      </c>
      <c r="G413" s="3" t="s">
        <v>66</v>
      </c>
      <c r="H413" s="3" t="s">
        <v>43</v>
      </c>
      <c r="I413" s="3">
        <v>3</v>
      </c>
      <c r="J413" s="3">
        <v>104</v>
      </c>
      <c r="K413" s="3">
        <v>312</v>
      </c>
      <c r="L413" s="3" t="s">
        <v>32</v>
      </c>
    </row>
    <row r="414" spans="1:12" x14ac:dyDescent="0.3">
      <c r="A414" s="3" t="s">
        <v>694</v>
      </c>
      <c r="B414" s="3" t="s">
        <v>695</v>
      </c>
      <c r="C414" s="13" t="str">
        <f t="shared" si="6"/>
        <v>May</v>
      </c>
      <c r="D414" s="3" t="s">
        <v>24</v>
      </c>
      <c r="E414" s="14" t="s">
        <v>839</v>
      </c>
      <c r="F414" s="3" t="s">
        <v>37</v>
      </c>
      <c r="G414" s="3" t="s">
        <v>26</v>
      </c>
      <c r="H414" s="3" t="s">
        <v>27</v>
      </c>
      <c r="I414" s="3">
        <v>1</v>
      </c>
      <c r="J414" s="3">
        <v>164</v>
      </c>
      <c r="K414" s="3">
        <v>164</v>
      </c>
      <c r="L414" s="3" t="s">
        <v>15</v>
      </c>
    </row>
    <row r="415" spans="1:12" x14ac:dyDescent="0.3">
      <c r="A415" s="3" t="s">
        <v>696</v>
      </c>
      <c r="B415" s="3" t="s">
        <v>515</v>
      </c>
      <c r="C415" s="13" t="str">
        <f t="shared" si="6"/>
        <v>April</v>
      </c>
      <c r="D415" s="3" t="s">
        <v>54</v>
      </c>
      <c r="E415" s="14" t="s">
        <v>839</v>
      </c>
      <c r="F415" s="3" t="s">
        <v>41</v>
      </c>
      <c r="G415" s="3" t="s">
        <v>42</v>
      </c>
      <c r="H415" s="3" t="s">
        <v>43</v>
      </c>
      <c r="I415" s="3">
        <v>1</v>
      </c>
      <c r="J415" s="3">
        <v>236</v>
      </c>
      <c r="K415" s="3">
        <v>236</v>
      </c>
      <c r="L415" s="3" t="s">
        <v>15</v>
      </c>
    </row>
    <row r="416" spans="1:12" x14ac:dyDescent="0.3">
      <c r="A416" s="3" t="s">
        <v>697</v>
      </c>
      <c r="B416" s="3" t="s">
        <v>497</v>
      </c>
      <c r="C416" s="13" t="str">
        <f t="shared" si="6"/>
        <v>March</v>
      </c>
      <c r="D416" s="3" t="s">
        <v>24</v>
      </c>
      <c r="E416" s="14" t="s">
        <v>839</v>
      </c>
      <c r="F416" s="3" t="s">
        <v>37</v>
      </c>
      <c r="G416" s="3" t="s">
        <v>26</v>
      </c>
      <c r="H416" s="3" t="s">
        <v>27</v>
      </c>
      <c r="I416" s="3">
        <v>3</v>
      </c>
      <c r="J416" s="3">
        <v>169</v>
      </c>
      <c r="K416" s="3">
        <v>507</v>
      </c>
      <c r="L416" s="3" t="s">
        <v>38</v>
      </c>
    </row>
    <row r="417" spans="1:12" x14ac:dyDescent="0.3">
      <c r="A417" s="3" t="s">
        <v>698</v>
      </c>
      <c r="B417" s="3" t="s">
        <v>138</v>
      </c>
      <c r="C417" s="13" t="str">
        <f t="shared" si="6"/>
        <v>July</v>
      </c>
      <c r="D417" s="3" t="s">
        <v>51</v>
      </c>
      <c r="E417" s="14" t="s">
        <v>839</v>
      </c>
      <c r="F417" s="3" t="s">
        <v>25</v>
      </c>
      <c r="G417" s="3" t="s">
        <v>13</v>
      </c>
      <c r="H417" s="3" t="s">
        <v>14</v>
      </c>
      <c r="I417" s="3">
        <v>2</v>
      </c>
      <c r="J417" s="3">
        <v>179</v>
      </c>
      <c r="K417" s="3">
        <v>358</v>
      </c>
      <c r="L417" s="3" t="s">
        <v>38</v>
      </c>
    </row>
    <row r="418" spans="1:12" x14ac:dyDescent="0.3">
      <c r="A418" s="3" t="s">
        <v>699</v>
      </c>
      <c r="B418" s="3" t="s">
        <v>157</v>
      </c>
      <c r="C418" s="13" t="str">
        <f t="shared" si="6"/>
        <v>August</v>
      </c>
      <c r="D418" s="3" t="s">
        <v>54</v>
      </c>
      <c r="E418" s="14" t="s">
        <v>839</v>
      </c>
      <c r="F418" s="3" t="s">
        <v>25</v>
      </c>
      <c r="G418" s="3" t="s">
        <v>26</v>
      </c>
      <c r="H418" s="3" t="s">
        <v>27</v>
      </c>
      <c r="I418" s="3">
        <v>3</v>
      </c>
      <c r="J418" s="3">
        <v>160</v>
      </c>
      <c r="K418" s="3">
        <v>480</v>
      </c>
      <c r="L418" s="3" t="s">
        <v>32</v>
      </c>
    </row>
    <row r="419" spans="1:12" x14ac:dyDescent="0.3">
      <c r="A419" s="3" t="s">
        <v>700</v>
      </c>
      <c r="B419" s="3" t="s">
        <v>701</v>
      </c>
      <c r="C419" s="13" t="str">
        <f t="shared" si="6"/>
        <v>May</v>
      </c>
      <c r="D419" s="3" t="s">
        <v>18</v>
      </c>
      <c r="E419" s="14" t="s">
        <v>839</v>
      </c>
      <c r="F419" s="3" t="s">
        <v>12</v>
      </c>
      <c r="G419" s="3" t="s">
        <v>74</v>
      </c>
      <c r="H419" s="3" t="s">
        <v>27</v>
      </c>
      <c r="I419" s="3">
        <v>3</v>
      </c>
      <c r="J419" s="3">
        <v>235</v>
      </c>
      <c r="K419" s="3">
        <v>705</v>
      </c>
      <c r="L419" s="3" t="s">
        <v>38</v>
      </c>
    </row>
    <row r="420" spans="1:12" x14ac:dyDescent="0.3">
      <c r="A420" s="3" t="s">
        <v>702</v>
      </c>
      <c r="B420" s="3" t="s">
        <v>703</v>
      </c>
      <c r="C420" s="13" t="str">
        <f t="shared" si="6"/>
        <v>April</v>
      </c>
      <c r="D420" s="3" t="s">
        <v>11</v>
      </c>
      <c r="E420" s="14" t="s">
        <v>839</v>
      </c>
      <c r="F420" s="3" t="s">
        <v>41</v>
      </c>
      <c r="G420" s="3" t="s">
        <v>19</v>
      </c>
      <c r="H420" s="3" t="s">
        <v>20</v>
      </c>
      <c r="I420" s="3">
        <v>5</v>
      </c>
      <c r="J420" s="3">
        <v>131</v>
      </c>
      <c r="K420" s="3">
        <v>655</v>
      </c>
      <c r="L420" s="3" t="s">
        <v>15</v>
      </c>
    </row>
    <row r="421" spans="1:12" x14ac:dyDescent="0.3">
      <c r="A421" s="3" t="s">
        <v>704</v>
      </c>
      <c r="B421" s="3" t="s">
        <v>705</v>
      </c>
      <c r="C421" s="13" t="str">
        <f t="shared" si="6"/>
        <v>February</v>
      </c>
      <c r="D421" s="3" t="s">
        <v>18</v>
      </c>
      <c r="E421" s="14" t="s">
        <v>839</v>
      </c>
      <c r="F421" s="3" t="s">
        <v>25</v>
      </c>
      <c r="G421" s="3" t="s">
        <v>79</v>
      </c>
      <c r="H421" s="3" t="s">
        <v>20</v>
      </c>
      <c r="I421" s="3">
        <v>2</v>
      </c>
      <c r="J421" s="3">
        <v>164</v>
      </c>
      <c r="K421" s="3">
        <v>328</v>
      </c>
      <c r="L421" s="3" t="s">
        <v>38</v>
      </c>
    </row>
    <row r="422" spans="1:12" x14ac:dyDescent="0.3">
      <c r="A422" s="3" t="s">
        <v>706</v>
      </c>
      <c r="B422" s="3" t="s">
        <v>241</v>
      </c>
      <c r="C422" s="13" t="str">
        <f t="shared" si="6"/>
        <v>November</v>
      </c>
      <c r="D422" s="3" t="s">
        <v>54</v>
      </c>
      <c r="E422" s="14" t="s">
        <v>839</v>
      </c>
      <c r="F422" s="3" t="s">
        <v>41</v>
      </c>
      <c r="G422" s="3" t="s">
        <v>26</v>
      </c>
      <c r="H422" s="3" t="s">
        <v>27</v>
      </c>
      <c r="I422" s="3">
        <v>5</v>
      </c>
      <c r="J422" s="3">
        <v>175</v>
      </c>
      <c r="K422" s="3">
        <v>875</v>
      </c>
      <c r="L422" s="3" t="s">
        <v>38</v>
      </c>
    </row>
    <row r="423" spans="1:12" x14ac:dyDescent="0.3">
      <c r="A423" s="3" t="s">
        <v>707</v>
      </c>
      <c r="B423" s="3" t="s">
        <v>17</v>
      </c>
      <c r="C423" s="13" t="str">
        <f t="shared" si="6"/>
        <v>October</v>
      </c>
      <c r="D423" s="3" t="s">
        <v>840</v>
      </c>
      <c r="E423" s="14" t="s">
        <v>839</v>
      </c>
      <c r="F423" s="3" t="s">
        <v>37</v>
      </c>
      <c r="G423" s="3" t="s">
        <v>74</v>
      </c>
      <c r="H423" s="3" t="s">
        <v>27</v>
      </c>
      <c r="I423" s="3">
        <v>4</v>
      </c>
      <c r="J423" s="3">
        <v>252</v>
      </c>
      <c r="K423" s="3">
        <v>1008</v>
      </c>
      <c r="L423" s="3" t="s">
        <v>15</v>
      </c>
    </row>
    <row r="424" spans="1:12" x14ac:dyDescent="0.3">
      <c r="A424" s="3" t="s">
        <v>708</v>
      </c>
      <c r="B424" s="3" t="s">
        <v>579</v>
      </c>
      <c r="C424" s="13" t="str">
        <f t="shared" si="6"/>
        <v>February</v>
      </c>
      <c r="D424" s="3" t="s">
        <v>11</v>
      </c>
      <c r="E424" s="14" t="s">
        <v>839</v>
      </c>
      <c r="F424" s="3" t="s">
        <v>41</v>
      </c>
      <c r="G424" s="3" t="s">
        <v>66</v>
      </c>
      <c r="H424" s="3" t="s">
        <v>43</v>
      </c>
      <c r="I424" s="3">
        <v>2</v>
      </c>
      <c r="J424" s="3">
        <v>100</v>
      </c>
      <c r="K424" s="3">
        <v>200</v>
      </c>
      <c r="L424" s="3" t="s">
        <v>15</v>
      </c>
    </row>
    <row r="425" spans="1:12" x14ac:dyDescent="0.3">
      <c r="A425" s="3" t="s">
        <v>709</v>
      </c>
      <c r="B425" s="3" t="s">
        <v>710</v>
      </c>
      <c r="C425" s="13" t="str">
        <f t="shared" si="6"/>
        <v>April</v>
      </c>
      <c r="D425" s="3" t="s">
        <v>11</v>
      </c>
      <c r="E425" s="14" t="s">
        <v>839</v>
      </c>
      <c r="F425" s="3" t="s">
        <v>25</v>
      </c>
      <c r="G425" s="3" t="s">
        <v>69</v>
      </c>
      <c r="H425" s="3" t="s">
        <v>14</v>
      </c>
      <c r="I425" s="3">
        <v>1</v>
      </c>
      <c r="J425" s="3">
        <v>133</v>
      </c>
      <c r="K425" s="3">
        <v>133</v>
      </c>
      <c r="L425" s="3" t="s">
        <v>32</v>
      </c>
    </row>
    <row r="426" spans="1:12" x14ac:dyDescent="0.3">
      <c r="A426" s="3" t="s">
        <v>711</v>
      </c>
      <c r="B426" s="3" t="s">
        <v>579</v>
      </c>
      <c r="C426" s="13" t="str">
        <f t="shared" si="6"/>
        <v>February</v>
      </c>
      <c r="D426" s="3" t="s">
        <v>11</v>
      </c>
      <c r="E426" s="14" t="s">
        <v>839</v>
      </c>
      <c r="F426" s="3" t="s">
        <v>12</v>
      </c>
      <c r="G426" s="3" t="s">
        <v>42</v>
      </c>
      <c r="H426" s="3" t="s">
        <v>43</v>
      </c>
      <c r="I426" s="3">
        <v>2</v>
      </c>
      <c r="J426" s="3">
        <v>236</v>
      </c>
      <c r="K426" s="3">
        <v>472</v>
      </c>
      <c r="L426" s="3" t="s">
        <v>15</v>
      </c>
    </row>
    <row r="427" spans="1:12" x14ac:dyDescent="0.3">
      <c r="A427" s="3" t="s">
        <v>712</v>
      </c>
      <c r="B427" s="3" t="s">
        <v>713</v>
      </c>
      <c r="C427" s="13" t="str">
        <f t="shared" si="6"/>
        <v>August</v>
      </c>
      <c r="D427" s="3" t="s">
        <v>24</v>
      </c>
      <c r="E427" s="14" t="s">
        <v>839</v>
      </c>
      <c r="F427" s="3" t="s">
        <v>12</v>
      </c>
      <c r="G427" s="3" t="s">
        <v>74</v>
      </c>
      <c r="H427" s="3" t="s">
        <v>27</v>
      </c>
      <c r="I427" s="3">
        <v>3</v>
      </c>
      <c r="J427" s="3">
        <v>259</v>
      </c>
      <c r="K427" s="3">
        <v>777</v>
      </c>
      <c r="L427" s="3" t="s">
        <v>21</v>
      </c>
    </row>
    <row r="428" spans="1:12" x14ac:dyDescent="0.3">
      <c r="A428" s="3" t="s">
        <v>714</v>
      </c>
      <c r="B428" s="3" t="s">
        <v>351</v>
      </c>
      <c r="C428" s="13" t="str">
        <f t="shared" si="6"/>
        <v>June</v>
      </c>
      <c r="D428" s="3" t="s">
        <v>18</v>
      </c>
      <c r="E428" s="14" t="s">
        <v>839</v>
      </c>
      <c r="F428" s="3" t="s">
        <v>37</v>
      </c>
      <c r="G428" s="3" t="s">
        <v>57</v>
      </c>
      <c r="H428" s="3" t="s">
        <v>14</v>
      </c>
      <c r="I428" s="3">
        <v>1</v>
      </c>
      <c r="J428" s="3">
        <v>193</v>
      </c>
      <c r="K428" s="3">
        <v>193</v>
      </c>
      <c r="L428" s="3" t="s">
        <v>32</v>
      </c>
    </row>
    <row r="429" spans="1:12" x14ac:dyDescent="0.3">
      <c r="A429" s="3" t="s">
        <v>715</v>
      </c>
      <c r="B429" s="3" t="s">
        <v>191</v>
      </c>
      <c r="C429" s="13" t="str">
        <f t="shared" si="6"/>
        <v>November</v>
      </c>
      <c r="D429" s="3" t="s">
        <v>840</v>
      </c>
      <c r="E429" s="14" t="s">
        <v>839</v>
      </c>
      <c r="F429" s="3" t="s">
        <v>25</v>
      </c>
      <c r="G429" s="3" t="s">
        <v>26</v>
      </c>
      <c r="H429" s="3" t="s">
        <v>27</v>
      </c>
      <c r="I429" s="3">
        <v>2</v>
      </c>
      <c r="J429" s="3">
        <v>174</v>
      </c>
      <c r="K429" s="3">
        <v>348</v>
      </c>
      <c r="L429" s="3" t="s">
        <v>15</v>
      </c>
    </row>
    <row r="430" spans="1:12" x14ac:dyDescent="0.3">
      <c r="A430" s="3" t="s">
        <v>716</v>
      </c>
      <c r="B430" s="3" t="s">
        <v>717</v>
      </c>
      <c r="C430" s="13" t="str">
        <f t="shared" si="6"/>
        <v>December</v>
      </c>
      <c r="D430" s="3" t="s">
        <v>18</v>
      </c>
      <c r="E430" s="14" t="s">
        <v>839</v>
      </c>
      <c r="F430" s="3" t="s">
        <v>25</v>
      </c>
      <c r="G430" s="3" t="s">
        <v>13</v>
      </c>
      <c r="H430" s="3" t="s">
        <v>14</v>
      </c>
      <c r="I430" s="3">
        <v>1</v>
      </c>
      <c r="J430" s="3">
        <v>161</v>
      </c>
      <c r="K430" s="3">
        <v>161</v>
      </c>
      <c r="L430" s="3" t="s">
        <v>32</v>
      </c>
    </row>
    <row r="431" spans="1:12" x14ac:dyDescent="0.3">
      <c r="A431" s="3" t="s">
        <v>718</v>
      </c>
      <c r="B431" s="3" t="s">
        <v>204</v>
      </c>
      <c r="C431" s="13" t="str">
        <f t="shared" si="6"/>
        <v>May</v>
      </c>
      <c r="D431" s="3" t="s">
        <v>24</v>
      </c>
      <c r="E431" s="14" t="s">
        <v>839</v>
      </c>
      <c r="F431" s="3" t="s">
        <v>41</v>
      </c>
      <c r="G431" s="3" t="s">
        <v>79</v>
      </c>
      <c r="H431" s="3" t="s">
        <v>20</v>
      </c>
      <c r="I431" s="3">
        <v>3</v>
      </c>
      <c r="J431" s="3">
        <v>143</v>
      </c>
      <c r="K431" s="3">
        <v>429</v>
      </c>
      <c r="L431" s="3" t="s">
        <v>21</v>
      </c>
    </row>
    <row r="432" spans="1:12" x14ac:dyDescent="0.3">
      <c r="A432" s="3" t="s">
        <v>719</v>
      </c>
      <c r="B432" s="3" t="s">
        <v>34</v>
      </c>
      <c r="C432" s="13" t="str">
        <f t="shared" si="6"/>
        <v>March</v>
      </c>
      <c r="D432" s="3" t="s">
        <v>11</v>
      </c>
      <c r="E432" s="14" t="s">
        <v>839</v>
      </c>
      <c r="F432" s="3" t="s">
        <v>30</v>
      </c>
      <c r="G432" s="3" t="s">
        <v>74</v>
      </c>
      <c r="H432" s="3" t="s">
        <v>27</v>
      </c>
      <c r="I432" s="3">
        <v>3</v>
      </c>
      <c r="J432" s="3">
        <v>233</v>
      </c>
      <c r="K432" s="3">
        <v>699</v>
      </c>
      <c r="L432" s="3" t="s">
        <v>32</v>
      </c>
    </row>
    <row r="433" spans="1:12" x14ac:dyDescent="0.3">
      <c r="A433" s="3" t="s">
        <v>720</v>
      </c>
      <c r="B433" s="3" t="s">
        <v>400</v>
      </c>
      <c r="C433" s="13" t="str">
        <f t="shared" si="6"/>
        <v>January</v>
      </c>
      <c r="D433" s="3" t="s">
        <v>18</v>
      </c>
      <c r="E433" s="14" t="s">
        <v>839</v>
      </c>
      <c r="F433" s="3" t="s">
        <v>41</v>
      </c>
      <c r="G433" s="3" t="s">
        <v>42</v>
      </c>
      <c r="H433" s="3" t="s">
        <v>43</v>
      </c>
      <c r="I433" s="3">
        <v>5</v>
      </c>
      <c r="J433" s="3">
        <v>215</v>
      </c>
      <c r="K433" s="3">
        <v>1075</v>
      </c>
      <c r="L433" s="3" t="s">
        <v>21</v>
      </c>
    </row>
    <row r="434" spans="1:12" x14ac:dyDescent="0.3">
      <c r="A434" s="3" t="s">
        <v>721</v>
      </c>
      <c r="B434" s="3" t="s">
        <v>384</v>
      </c>
      <c r="C434" s="13" t="str">
        <f t="shared" si="6"/>
        <v>February</v>
      </c>
      <c r="D434" s="3" t="s">
        <v>11</v>
      </c>
      <c r="E434" s="14" t="s">
        <v>839</v>
      </c>
      <c r="F434" s="3" t="s">
        <v>41</v>
      </c>
      <c r="G434" s="3" t="s">
        <v>31</v>
      </c>
      <c r="H434" s="3" t="s">
        <v>14</v>
      </c>
      <c r="I434" s="3">
        <v>3</v>
      </c>
      <c r="J434" s="3">
        <v>204</v>
      </c>
      <c r="K434" s="3">
        <v>612</v>
      </c>
      <c r="L434" s="3" t="s">
        <v>21</v>
      </c>
    </row>
    <row r="435" spans="1:12" x14ac:dyDescent="0.3">
      <c r="A435" s="3" t="s">
        <v>722</v>
      </c>
      <c r="B435" s="3" t="s">
        <v>701</v>
      </c>
      <c r="C435" s="13" t="str">
        <f t="shared" si="6"/>
        <v>May</v>
      </c>
      <c r="D435" s="3" t="s">
        <v>51</v>
      </c>
      <c r="E435" s="14" t="s">
        <v>839</v>
      </c>
      <c r="F435" s="3" t="s">
        <v>41</v>
      </c>
      <c r="G435" s="3" t="s">
        <v>13</v>
      </c>
      <c r="H435" s="3" t="s">
        <v>14</v>
      </c>
      <c r="I435" s="3">
        <v>1</v>
      </c>
      <c r="J435" s="3">
        <v>190</v>
      </c>
      <c r="K435" s="3">
        <v>190</v>
      </c>
      <c r="L435" s="3" t="s">
        <v>38</v>
      </c>
    </row>
    <row r="436" spans="1:12" x14ac:dyDescent="0.3">
      <c r="A436" s="3" t="s">
        <v>723</v>
      </c>
      <c r="B436" s="3" t="s">
        <v>284</v>
      </c>
      <c r="C436" s="13" t="str">
        <f t="shared" si="6"/>
        <v>May</v>
      </c>
      <c r="D436" s="3" t="s">
        <v>46</v>
      </c>
      <c r="E436" s="14" t="s">
        <v>839</v>
      </c>
      <c r="F436" s="3" t="s">
        <v>12</v>
      </c>
      <c r="G436" s="3" t="s">
        <v>69</v>
      </c>
      <c r="H436" s="3" t="s">
        <v>14</v>
      </c>
      <c r="I436" s="3">
        <v>1</v>
      </c>
      <c r="J436" s="3">
        <v>134</v>
      </c>
      <c r="K436" s="3">
        <v>134</v>
      </c>
      <c r="L436" s="3" t="s">
        <v>21</v>
      </c>
    </row>
    <row r="437" spans="1:12" x14ac:dyDescent="0.3">
      <c r="A437" s="3" t="s">
        <v>724</v>
      </c>
      <c r="B437" s="3" t="s">
        <v>223</v>
      </c>
      <c r="C437" s="13" t="str">
        <f t="shared" si="6"/>
        <v>August</v>
      </c>
      <c r="D437" s="3" t="s">
        <v>54</v>
      </c>
      <c r="E437" s="14" t="s">
        <v>839</v>
      </c>
      <c r="F437" s="3" t="s">
        <v>41</v>
      </c>
      <c r="G437" s="3" t="s">
        <v>26</v>
      </c>
      <c r="H437" s="3" t="s">
        <v>27</v>
      </c>
      <c r="I437" s="3">
        <v>4</v>
      </c>
      <c r="J437" s="3">
        <v>151</v>
      </c>
      <c r="K437" s="3">
        <v>604</v>
      </c>
      <c r="L437" s="3" t="s">
        <v>15</v>
      </c>
    </row>
    <row r="438" spans="1:12" x14ac:dyDescent="0.3">
      <c r="A438" s="3" t="s">
        <v>725</v>
      </c>
      <c r="B438" s="3" t="s">
        <v>470</v>
      </c>
      <c r="C438" s="13" t="str">
        <f t="shared" si="6"/>
        <v>September</v>
      </c>
      <c r="D438" s="3" t="s">
        <v>51</v>
      </c>
      <c r="E438" s="14" t="s">
        <v>839</v>
      </c>
      <c r="F438" s="3" t="s">
        <v>41</v>
      </c>
      <c r="G438" s="3" t="s">
        <v>79</v>
      </c>
      <c r="H438" s="3" t="s">
        <v>20</v>
      </c>
      <c r="I438" s="3">
        <v>1</v>
      </c>
      <c r="J438" s="3">
        <v>168</v>
      </c>
      <c r="K438" s="3">
        <v>168</v>
      </c>
      <c r="L438" s="3" t="s">
        <v>38</v>
      </c>
    </row>
    <row r="439" spans="1:12" x14ac:dyDescent="0.3">
      <c r="A439" s="3" t="s">
        <v>726</v>
      </c>
      <c r="B439" s="3" t="s">
        <v>482</v>
      </c>
      <c r="C439" s="13" t="str">
        <f t="shared" si="6"/>
        <v>October</v>
      </c>
      <c r="D439" s="3" t="s">
        <v>51</v>
      </c>
      <c r="E439" s="14" t="s">
        <v>839</v>
      </c>
      <c r="F439" s="3" t="s">
        <v>30</v>
      </c>
      <c r="G439" s="3" t="s">
        <v>42</v>
      </c>
      <c r="H439" s="3" t="s">
        <v>43</v>
      </c>
      <c r="I439" s="3">
        <v>4</v>
      </c>
      <c r="J439" s="3">
        <v>228</v>
      </c>
      <c r="K439" s="3">
        <v>912</v>
      </c>
      <c r="L439" s="3" t="s">
        <v>38</v>
      </c>
    </row>
    <row r="440" spans="1:12" x14ac:dyDescent="0.3">
      <c r="A440" s="3" t="s">
        <v>727</v>
      </c>
      <c r="B440" s="3" t="s">
        <v>728</v>
      </c>
      <c r="C440" s="13" t="str">
        <f t="shared" si="6"/>
        <v>October</v>
      </c>
      <c r="D440" s="3" t="s">
        <v>46</v>
      </c>
      <c r="E440" s="14" t="s">
        <v>839</v>
      </c>
      <c r="F440" s="3" t="s">
        <v>25</v>
      </c>
      <c r="G440" s="3" t="s">
        <v>31</v>
      </c>
      <c r="H440" s="3" t="s">
        <v>14</v>
      </c>
      <c r="I440" s="3">
        <v>5</v>
      </c>
      <c r="J440" s="3">
        <v>198</v>
      </c>
      <c r="K440" s="3">
        <v>990</v>
      </c>
      <c r="L440" s="3" t="s">
        <v>21</v>
      </c>
    </row>
    <row r="441" spans="1:12" x14ac:dyDescent="0.3">
      <c r="A441" s="3" t="s">
        <v>729</v>
      </c>
      <c r="B441" s="3" t="s">
        <v>730</v>
      </c>
      <c r="C441" s="13" t="str">
        <f t="shared" si="6"/>
        <v>July</v>
      </c>
      <c r="D441" s="3" t="s">
        <v>24</v>
      </c>
      <c r="E441" s="14" t="s">
        <v>839</v>
      </c>
      <c r="F441" s="3" t="s">
        <v>25</v>
      </c>
      <c r="G441" s="3" t="s">
        <v>26</v>
      </c>
      <c r="H441" s="3" t="s">
        <v>27</v>
      </c>
      <c r="I441" s="3">
        <v>2</v>
      </c>
      <c r="J441" s="3">
        <v>190</v>
      </c>
      <c r="K441" s="3">
        <v>380</v>
      </c>
      <c r="L441" s="3" t="s">
        <v>38</v>
      </c>
    </row>
    <row r="442" spans="1:12" x14ac:dyDescent="0.3">
      <c r="A442" s="3" t="s">
        <v>731</v>
      </c>
      <c r="B442" s="3" t="s">
        <v>553</v>
      </c>
      <c r="C442" s="13" t="str">
        <f t="shared" si="6"/>
        <v>February</v>
      </c>
      <c r="D442" s="3" t="s">
        <v>24</v>
      </c>
      <c r="E442" s="14" t="s">
        <v>839</v>
      </c>
      <c r="F442" s="3" t="s">
        <v>25</v>
      </c>
      <c r="G442" s="3" t="s">
        <v>13</v>
      </c>
      <c r="H442" s="3" t="s">
        <v>14</v>
      </c>
      <c r="I442" s="3">
        <v>3</v>
      </c>
      <c r="J442" s="3">
        <v>197</v>
      </c>
      <c r="K442" s="3">
        <v>591</v>
      </c>
      <c r="L442" s="3" t="s">
        <v>32</v>
      </c>
    </row>
    <row r="443" spans="1:12" x14ac:dyDescent="0.3">
      <c r="A443" s="3" t="s">
        <v>732</v>
      </c>
      <c r="B443" s="3" t="s">
        <v>733</v>
      </c>
      <c r="C443" s="13" t="str">
        <f t="shared" si="6"/>
        <v>March</v>
      </c>
      <c r="D443" s="3" t="s">
        <v>11</v>
      </c>
      <c r="E443" s="14" t="s">
        <v>839</v>
      </c>
      <c r="F443" s="3" t="s">
        <v>25</v>
      </c>
      <c r="G443" s="3" t="s">
        <v>42</v>
      </c>
      <c r="H443" s="3" t="s">
        <v>43</v>
      </c>
      <c r="I443" s="3">
        <v>3</v>
      </c>
      <c r="J443" s="3">
        <v>214</v>
      </c>
      <c r="K443" s="3">
        <v>642</v>
      </c>
      <c r="L443" s="3" t="s">
        <v>21</v>
      </c>
    </row>
    <row r="444" spans="1:12" x14ac:dyDescent="0.3">
      <c r="A444" s="3" t="s">
        <v>734</v>
      </c>
      <c r="B444" s="3" t="s">
        <v>183</v>
      </c>
      <c r="C444" s="13" t="str">
        <f t="shared" si="6"/>
        <v>July</v>
      </c>
      <c r="D444" s="3" t="s">
        <v>840</v>
      </c>
      <c r="E444" s="14" t="s">
        <v>839</v>
      </c>
      <c r="F444" s="3" t="s">
        <v>25</v>
      </c>
      <c r="G444" s="3" t="s">
        <v>31</v>
      </c>
      <c r="H444" s="3" t="s">
        <v>14</v>
      </c>
      <c r="I444" s="3">
        <v>4</v>
      </c>
      <c r="J444" s="3">
        <v>186</v>
      </c>
      <c r="K444" s="3">
        <v>744</v>
      </c>
      <c r="L444" s="3" t="s">
        <v>15</v>
      </c>
    </row>
    <row r="445" spans="1:12" x14ac:dyDescent="0.3">
      <c r="A445" s="3" t="s">
        <v>735</v>
      </c>
      <c r="B445" s="3" t="s">
        <v>539</v>
      </c>
      <c r="C445" s="13" t="str">
        <f t="shared" si="6"/>
        <v>December</v>
      </c>
      <c r="D445" s="3" t="s">
        <v>18</v>
      </c>
      <c r="E445" s="14" t="s">
        <v>839</v>
      </c>
      <c r="F445" s="3" t="s">
        <v>37</v>
      </c>
      <c r="G445" s="3" t="s">
        <v>13</v>
      </c>
      <c r="H445" s="3" t="s">
        <v>14</v>
      </c>
      <c r="I445" s="3">
        <v>3</v>
      </c>
      <c r="J445" s="3">
        <v>191</v>
      </c>
      <c r="K445" s="3">
        <v>573</v>
      </c>
      <c r="L445" s="3" t="s">
        <v>15</v>
      </c>
    </row>
    <row r="446" spans="1:12" x14ac:dyDescent="0.3">
      <c r="A446" s="3" t="s">
        <v>736</v>
      </c>
      <c r="B446" s="3" t="s">
        <v>63</v>
      </c>
      <c r="C446" s="13" t="str">
        <f t="shared" si="6"/>
        <v>December</v>
      </c>
      <c r="D446" s="3" t="s">
        <v>11</v>
      </c>
      <c r="E446" s="14" t="s">
        <v>839</v>
      </c>
      <c r="F446" s="3" t="s">
        <v>12</v>
      </c>
      <c r="G446" s="3" t="s">
        <v>42</v>
      </c>
      <c r="H446" s="3" t="s">
        <v>43</v>
      </c>
      <c r="I446" s="3">
        <v>5</v>
      </c>
      <c r="J446" s="3">
        <v>232</v>
      </c>
      <c r="K446" s="3">
        <v>1160</v>
      </c>
      <c r="L446" s="3" t="s">
        <v>15</v>
      </c>
    </row>
    <row r="447" spans="1:12" x14ac:dyDescent="0.3">
      <c r="A447" s="3" t="s">
        <v>737</v>
      </c>
      <c r="B447" s="3" t="s">
        <v>738</v>
      </c>
      <c r="C447" s="13" t="str">
        <f t="shared" si="6"/>
        <v>July</v>
      </c>
      <c r="D447" s="3" t="s">
        <v>11</v>
      </c>
      <c r="E447" s="14" t="s">
        <v>839</v>
      </c>
      <c r="F447" s="3" t="s">
        <v>30</v>
      </c>
      <c r="G447" s="3" t="s">
        <v>79</v>
      </c>
      <c r="H447" s="3" t="s">
        <v>20</v>
      </c>
      <c r="I447" s="3">
        <v>4</v>
      </c>
      <c r="J447" s="3">
        <v>140</v>
      </c>
      <c r="K447" s="3">
        <v>560</v>
      </c>
      <c r="L447" s="3" t="s">
        <v>32</v>
      </c>
    </row>
    <row r="448" spans="1:12" x14ac:dyDescent="0.3">
      <c r="A448" s="3" t="s">
        <v>739</v>
      </c>
      <c r="B448" s="3" t="s">
        <v>740</v>
      </c>
      <c r="C448" s="13" t="str">
        <f t="shared" si="6"/>
        <v>September</v>
      </c>
      <c r="D448" s="3" t="s">
        <v>18</v>
      </c>
      <c r="E448" s="14" t="s">
        <v>839</v>
      </c>
      <c r="F448" s="3" t="s">
        <v>12</v>
      </c>
      <c r="G448" s="3" t="s">
        <v>66</v>
      </c>
      <c r="H448" s="3" t="s">
        <v>43</v>
      </c>
      <c r="I448" s="3">
        <v>5</v>
      </c>
      <c r="J448" s="3">
        <v>140</v>
      </c>
      <c r="K448" s="3">
        <v>700</v>
      </c>
      <c r="L448" s="3" t="s">
        <v>38</v>
      </c>
    </row>
    <row r="449" spans="1:12" x14ac:dyDescent="0.3">
      <c r="A449" s="3" t="s">
        <v>741</v>
      </c>
      <c r="B449" s="3" t="s">
        <v>317</v>
      </c>
      <c r="C449" s="13" t="str">
        <f t="shared" si="6"/>
        <v>October</v>
      </c>
      <c r="D449" s="3" t="s">
        <v>51</v>
      </c>
      <c r="E449" s="14" t="s">
        <v>839</v>
      </c>
      <c r="F449" s="3" t="s">
        <v>12</v>
      </c>
      <c r="G449" s="3" t="s">
        <v>66</v>
      </c>
      <c r="H449" s="3" t="s">
        <v>43</v>
      </c>
      <c r="I449" s="3">
        <v>5</v>
      </c>
      <c r="J449" s="3">
        <v>103</v>
      </c>
      <c r="K449" s="3">
        <v>515</v>
      </c>
      <c r="L449" s="3" t="s">
        <v>32</v>
      </c>
    </row>
    <row r="450" spans="1:12" x14ac:dyDescent="0.3">
      <c r="A450" s="3" t="s">
        <v>742</v>
      </c>
      <c r="B450" s="3" t="s">
        <v>743</v>
      </c>
      <c r="C450" s="13" t="str">
        <f t="shared" si="6"/>
        <v>September</v>
      </c>
      <c r="D450" s="3" t="s">
        <v>24</v>
      </c>
      <c r="E450" s="14" t="s">
        <v>839</v>
      </c>
      <c r="F450" s="3" t="s">
        <v>41</v>
      </c>
      <c r="G450" s="3" t="s">
        <v>13</v>
      </c>
      <c r="H450" s="3" t="s">
        <v>14</v>
      </c>
      <c r="I450" s="3">
        <v>2</v>
      </c>
      <c r="J450" s="3">
        <v>197</v>
      </c>
      <c r="K450" s="3">
        <v>394</v>
      </c>
      <c r="L450" s="3" t="s">
        <v>15</v>
      </c>
    </row>
    <row r="451" spans="1:12" x14ac:dyDescent="0.3">
      <c r="A451" s="3" t="s">
        <v>744</v>
      </c>
      <c r="B451" s="3" t="s">
        <v>620</v>
      </c>
      <c r="C451" s="13" t="str">
        <f t="shared" ref="C451:C501" si="7">TEXT(B451,"mmmm")</f>
        <v>June</v>
      </c>
      <c r="D451" s="3" t="s">
        <v>51</v>
      </c>
      <c r="E451" s="14" t="s">
        <v>839</v>
      </c>
      <c r="F451" s="3" t="s">
        <v>12</v>
      </c>
      <c r="G451" s="3" t="s">
        <v>13</v>
      </c>
      <c r="H451" s="3" t="s">
        <v>14</v>
      </c>
      <c r="I451" s="3">
        <v>5</v>
      </c>
      <c r="J451" s="3">
        <v>190</v>
      </c>
      <c r="K451" s="3">
        <v>950</v>
      </c>
      <c r="L451" s="3" t="s">
        <v>32</v>
      </c>
    </row>
    <row r="452" spans="1:12" x14ac:dyDescent="0.3">
      <c r="A452" s="3" t="s">
        <v>745</v>
      </c>
      <c r="B452" s="3" t="s">
        <v>746</v>
      </c>
      <c r="C452" s="13" t="str">
        <f t="shared" si="7"/>
        <v>June</v>
      </c>
      <c r="D452" s="3" t="s">
        <v>51</v>
      </c>
      <c r="E452" s="14" t="s">
        <v>839</v>
      </c>
      <c r="F452" s="3" t="s">
        <v>30</v>
      </c>
      <c r="G452" s="3" t="s">
        <v>42</v>
      </c>
      <c r="H452" s="3" t="s">
        <v>43</v>
      </c>
      <c r="I452" s="3">
        <v>3</v>
      </c>
      <c r="J452" s="3">
        <v>237</v>
      </c>
      <c r="K452" s="3">
        <v>711</v>
      </c>
      <c r="L452" s="3" t="s">
        <v>38</v>
      </c>
    </row>
    <row r="453" spans="1:12" x14ac:dyDescent="0.3">
      <c r="A453" s="3" t="s">
        <v>747</v>
      </c>
      <c r="B453" s="3" t="s">
        <v>553</v>
      </c>
      <c r="C453" s="13" t="str">
        <f t="shared" si="7"/>
        <v>February</v>
      </c>
      <c r="D453" s="3" t="s">
        <v>840</v>
      </c>
      <c r="E453" s="14" t="s">
        <v>839</v>
      </c>
      <c r="F453" s="3" t="s">
        <v>30</v>
      </c>
      <c r="G453" s="3" t="s">
        <v>69</v>
      </c>
      <c r="H453" s="3" t="s">
        <v>14</v>
      </c>
      <c r="I453" s="3">
        <v>1</v>
      </c>
      <c r="J453" s="3">
        <v>138</v>
      </c>
      <c r="K453" s="3">
        <v>138</v>
      </c>
      <c r="L453" s="3" t="s">
        <v>15</v>
      </c>
    </row>
    <row r="454" spans="1:12" x14ac:dyDescent="0.3">
      <c r="A454" s="3" t="s">
        <v>748</v>
      </c>
      <c r="B454" s="3" t="s">
        <v>542</v>
      </c>
      <c r="C454" s="13" t="str">
        <f t="shared" si="7"/>
        <v>June</v>
      </c>
      <c r="D454" s="3" t="s">
        <v>46</v>
      </c>
      <c r="E454" s="14" t="s">
        <v>839</v>
      </c>
      <c r="F454" s="3" t="s">
        <v>30</v>
      </c>
      <c r="G454" s="3" t="s">
        <v>31</v>
      </c>
      <c r="H454" s="3" t="s">
        <v>14</v>
      </c>
      <c r="I454" s="3">
        <v>4</v>
      </c>
      <c r="J454" s="3">
        <v>213</v>
      </c>
      <c r="K454" s="3">
        <v>852</v>
      </c>
      <c r="L454" s="3" t="s">
        <v>32</v>
      </c>
    </row>
    <row r="455" spans="1:12" x14ac:dyDescent="0.3">
      <c r="A455" s="3" t="s">
        <v>749</v>
      </c>
      <c r="B455" s="3" t="s">
        <v>153</v>
      </c>
      <c r="C455" s="13" t="str">
        <f t="shared" si="7"/>
        <v>September</v>
      </c>
      <c r="D455" s="3" t="s">
        <v>18</v>
      </c>
      <c r="E455" s="14" t="s">
        <v>839</v>
      </c>
      <c r="F455" s="3" t="s">
        <v>37</v>
      </c>
      <c r="G455" s="3" t="s">
        <v>74</v>
      </c>
      <c r="H455" s="3" t="s">
        <v>27</v>
      </c>
      <c r="I455" s="3">
        <v>1</v>
      </c>
      <c r="J455" s="3">
        <v>249</v>
      </c>
      <c r="K455" s="3">
        <v>249</v>
      </c>
      <c r="L455" s="3" t="s">
        <v>21</v>
      </c>
    </row>
    <row r="456" spans="1:12" x14ac:dyDescent="0.3">
      <c r="A456" s="3" t="s">
        <v>750</v>
      </c>
      <c r="B456" s="3" t="s">
        <v>482</v>
      </c>
      <c r="C456" s="13" t="str">
        <f t="shared" si="7"/>
        <v>October</v>
      </c>
      <c r="D456" s="3" t="s">
        <v>18</v>
      </c>
      <c r="E456" s="14" t="s">
        <v>839</v>
      </c>
      <c r="F456" s="3" t="s">
        <v>37</v>
      </c>
      <c r="G456" s="3" t="s">
        <v>69</v>
      </c>
      <c r="H456" s="3" t="s">
        <v>14</v>
      </c>
      <c r="I456" s="3">
        <v>1</v>
      </c>
      <c r="J456" s="3">
        <v>140</v>
      </c>
      <c r="K456" s="3">
        <v>140</v>
      </c>
      <c r="L456" s="3" t="s">
        <v>38</v>
      </c>
    </row>
    <row r="457" spans="1:12" x14ac:dyDescent="0.3">
      <c r="A457" s="3" t="s">
        <v>751</v>
      </c>
      <c r="B457" s="3" t="s">
        <v>448</v>
      </c>
      <c r="C457" s="13" t="str">
        <f t="shared" si="7"/>
        <v>October</v>
      </c>
      <c r="D457" s="3" t="s">
        <v>54</v>
      </c>
      <c r="E457" s="14" t="s">
        <v>839</v>
      </c>
      <c r="F457" s="3" t="s">
        <v>37</v>
      </c>
      <c r="G457" s="3" t="s">
        <v>69</v>
      </c>
      <c r="H457" s="3" t="s">
        <v>14</v>
      </c>
      <c r="I457" s="3">
        <v>4</v>
      </c>
      <c r="J457" s="3">
        <v>160</v>
      </c>
      <c r="K457" s="3">
        <v>640</v>
      </c>
      <c r="L457" s="3" t="s">
        <v>21</v>
      </c>
    </row>
    <row r="458" spans="1:12" x14ac:dyDescent="0.3">
      <c r="A458" s="3" t="s">
        <v>752</v>
      </c>
      <c r="B458" s="3" t="s">
        <v>262</v>
      </c>
      <c r="C458" s="13" t="str">
        <f t="shared" si="7"/>
        <v>January</v>
      </c>
      <c r="D458" s="3" t="s">
        <v>46</v>
      </c>
      <c r="E458" s="14" t="s">
        <v>839</v>
      </c>
      <c r="F458" s="3" t="s">
        <v>41</v>
      </c>
      <c r="G458" s="3" t="s">
        <v>66</v>
      </c>
      <c r="H458" s="3" t="s">
        <v>43</v>
      </c>
      <c r="I458" s="3">
        <v>1</v>
      </c>
      <c r="J458" s="3">
        <v>121</v>
      </c>
      <c r="K458" s="3">
        <v>121</v>
      </c>
      <c r="L458" s="3" t="s">
        <v>15</v>
      </c>
    </row>
    <row r="459" spans="1:12" x14ac:dyDescent="0.3">
      <c r="A459" s="3" t="s">
        <v>753</v>
      </c>
      <c r="B459" s="3" t="s">
        <v>398</v>
      </c>
      <c r="C459" s="13" t="str">
        <f t="shared" si="7"/>
        <v>June</v>
      </c>
      <c r="D459" s="3" t="s">
        <v>54</v>
      </c>
      <c r="E459" s="14" t="s">
        <v>839</v>
      </c>
      <c r="F459" s="3" t="s">
        <v>30</v>
      </c>
      <c r="G459" s="3" t="s">
        <v>26</v>
      </c>
      <c r="H459" s="3" t="s">
        <v>27</v>
      </c>
      <c r="I459" s="3">
        <v>4</v>
      </c>
      <c r="J459" s="3">
        <v>189</v>
      </c>
      <c r="K459" s="3">
        <v>756</v>
      </c>
      <c r="L459" s="3" t="s">
        <v>21</v>
      </c>
    </row>
    <row r="460" spans="1:12" x14ac:dyDescent="0.3">
      <c r="A460" s="3" t="s">
        <v>754</v>
      </c>
      <c r="B460" s="3" t="s">
        <v>402</v>
      </c>
      <c r="C460" s="13" t="str">
        <f t="shared" si="7"/>
        <v>February</v>
      </c>
      <c r="D460" s="3" t="s">
        <v>46</v>
      </c>
      <c r="E460" s="14" t="s">
        <v>839</v>
      </c>
      <c r="F460" s="3" t="s">
        <v>12</v>
      </c>
      <c r="G460" s="3" t="s">
        <v>42</v>
      </c>
      <c r="H460" s="3" t="s">
        <v>43</v>
      </c>
      <c r="I460" s="3">
        <v>5</v>
      </c>
      <c r="J460" s="3">
        <v>233</v>
      </c>
      <c r="K460" s="3">
        <v>1165</v>
      </c>
      <c r="L460" s="3" t="s">
        <v>21</v>
      </c>
    </row>
    <row r="461" spans="1:12" x14ac:dyDescent="0.3">
      <c r="A461" s="3" t="s">
        <v>755</v>
      </c>
      <c r="B461" s="3" t="s">
        <v>756</v>
      </c>
      <c r="C461" s="13" t="str">
        <f t="shared" si="7"/>
        <v>August</v>
      </c>
      <c r="D461" s="3" t="s">
        <v>51</v>
      </c>
      <c r="E461" s="14" t="s">
        <v>839</v>
      </c>
      <c r="F461" s="3" t="s">
        <v>30</v>
      </c>
      <c r="G461" s="3" t="s">
        <v>74</v>
      </c>
      <c r="H461" s="3" t="s">
        <v>27</v>
      </c>
      <c r="I461" s="3">
        <v>3</v>
      </c>
      <c r="J461" s="3">
        <v>243</v>
      </c>
      <c r="K461" s="3">
        <v>729</v>
      </c>
      <c r="L461" s="3" t="s">
        <v>32</v>
      </c>
    </row>
    <row r="462" spans="1:12" x14ac:dyDescent="0.3">
      <c r="A462" s="3" t="s">
        <v>757</v>
      </c>
      <c r="B462" s="3" t="s">
        <v>614</v>
      </c>
      <c r="C462" s="13" t="str">
        <f t="shared" si="7"/>
        <v>December</v>
      </c>
      <c r="D462" s="3" t="s">
        <v>51</v>
      </c>
      <c r="E462" s="14" t="s">
        <v>839</v>
      </c>
      <c r="F462" s="3" t="s">
        <v>30</v>
      </c>
      <c r="G462" s="3" t="s">
        <v>66</v>
      </c>
      <c r="H462" s="3" t="s">
        <v>43</v>
      </c>
      <c r="I462" s="3">
        <v>1</v>
      </c>
      <c r="J462" s="3">
        <v>136</v>
      </c>
      <c r="K462" s="3">
        <v>136</v>
      </c>
      <c r="L462" s="3" t="s">
        <v>38</v>
      </c>
    </row>
    <row r="463" spans="1:12" x14ac:dyDescent="0.3">
      <c r="A463" s="3" t="s">
        <v>758</v>
      </c>
      <c r="B463" s="3" t="s">
        <v>759</v>
      </c>
      <c r="C463" s="13" t="str">
        <f t="shared" si="7"/>
        <v>December</v>
      </c>
      <c r="D463" s="3" t="s">
        <v>54</v>
      </c>
      <c r="E463" s="14" t="s">
        <v>839</v>
      </c>
      <c r="F463" s="3" t="s">
        <v>41</v>
      </c>
      <c r="G463" s="3" t="s">
        <v>42</v>
      </c>
      <c r="H463" s="3" t="s">
        <v>43</v>
      </c>
      <c r="I463" s="3">
        <v>4</v>
      </c>
      <c r="J463" s="3">
        <v>204</v>
      </c>
      <c r="K463" s="3">
        <v>816</v>
      </c>
      <c r="L463" s="3" t="s">
        <v>38</v>
      </c>
    </row>
    <row r="464" spans="1:12" x14ac:dyDescent="0.3">
      <c r="A464" s="3" t="s">
        <v>760</v>
      </c>
      <c r="B464" s="3" t="s">
        <v>761</v>
      </c>
      <c r="C464" s="13" t="str">
        <f t="shared" si="7"/>
        <v>October</v>
      </c>
      <c r="D464" s="3" t="s">
        <v>46</v>
      </c>
      <c r="E464" s="14" t="s">
        <v>839</v>
      </c>
      <c r="F464" s="3" t="s">
        <v>25</v>
      </c>
      <c r="G464" s="3" t="s">
        <v>19</v>
      </c>
      <c r="H464" s="3" t="s">
        <v>20</v>
      </c>
      <c r="I464" s="3">
        <v>3</v>
      </c>
      <c r="J464" s="3">
        <v>139</v>
      </c>
      <c r="K464" s="3">
        <v>417</v>
      </c>
      <c r="L464" s="3" t="s">
        <v>32</v>
      </c>
    </row>
    <row r="465" spans="1:12" x14ac:dyDescent="0.3">
      <c r="A465" s="3" t="s">
        <v>762</v>
      </c>
      <c r="B465" s="3" t="s">
        <v>501</v>
      </c>
      <c r="C465" s="13" t="str">
        <f t="shared" si="7"/>
        <v>December</v>
      </c>
      <c r="D465" s="3" t="s">
        <v>840</v>
      </c>
      <c r="E465" s="14" t="s">
        <v>839</v>
      </c>
      <c r="F465" s="3" t="s">
        <v>12</v>
      </c>
      <c r="G465" s="3" t="s">
        <v>19</v>
      </c>
      <c r="H465" s="3" t="s">
        <v>20</v>
      </c>
      <c r="I465" s="3">
        <v>1</v>
      </c>
      <c r="J465" s="3">
        <v>144</v>
      </c>
      <c r="K465" s="3">
        <v>144</v>
      </c>
      <c r="L465" s="3" t="s">
        <v>15</v>
      </c>
    </row>
    <row r="466" spans="1:12" x14ac:dyDescent="0.3">
      <c r="A466" s="3" t="s">
        <v>763</v>
      </c>
      <c r="B466" s="3" t="s">
        <v>764</v>
      </c>
      <c r="C466" s="13" t="str">
        <f t="shared" si="7"/>
        <v>September</v>
      </c>
      <c r="D466" s="3" t="s">
        <v>51</v>
      </c>
      <c r="E466" s="14" t="s">
        <v>839</v>
      </c>
      <c r="F466" s="3" t="s">
        <v>12</v>
      </c>
      <c r="G466" s="3" t="s">
        <v>74</v>
      </c>
      <c r="H466" s="3" t="s">
        <v>27</v>
      </c>
      <c r="I466" s="3">
        <v>3</v>
      </c>
      <c r="J466" s="3">
        <v>246</v>
      </c>
      <c r="K466" s="3">
        <v>738</v>
      </c>
      <c r="L466" s="3" t="s">
        <v>38</v>
      </c>
    </row>
    <row r="467" spans="1:12" x14ac:dyDescent="0.3">
      <c r="A467" s="3" t="s">
        <v>765</v>
      </c>
      <c r="B467" s="3" t="s">
        <v>766</v>
      </c>
      <c r="C467" s="13" t="str">
        <f t="shared" si="7"/>
        <v>May</v>
      </c>
      <c r="D467" s="3" t="s">
        <v>24</v>
      </c>
      <c r="E467" s="14" t="s">
        <v>839</v>
      </c>
      <c r="F467" s="3" t="s">
        <v>25</v>
      </c>
      <c r="G467" s="3" t="s">
        <v>19</v>
      </c>
      <c r="H467" s="3" t="s">
        <v>20</v>
      </c>
      <c r="I467" s="3">
        <v>4</v>
      </c>
      <c r="J467" s="3">
        <v>126</v>
      </c>
      <c r="K467" s="3">
        <v>504</v>
      </c>
      <c r="L467" s="3" t="s">
        <v>38</v>
      </c>
    </row>
    <row r="468" spans="1:12" x14ac:dyDescent="0.3">
      <c r="A468" s="3" t="s">
        <v>767</v>
      </c>
      <c r="B468" s="3" t="s">
        <v>497</v>
      </c>
      <c r="C468" s="13" t="str">
        <f t="shared" si="7"/>
        <v>March</v>
      </c>
      <c r="D468" s="3" t="s">
        <v>51</v>
      </c>
      <c r="E468" s="14" t="s">
        <v>839</v>
      </c>
      <c r="F468" s="3" t="s">
        <v>41</v>
      </c>
      <c r="G468" s="3" t="s">
        <v>66</v>
      </c>
      <c r="H468" s="3" t="s">
        <v>43</v>
      </c>
      <c r="I468" s="3">
        <v>4</v>
      </c>
      <c r="J468" s="3">
        <v>113</v>
      </c>
      <c r="K468" s="3">
        <v>452</v>
      </c>
      <c r="L468" s="3" t="s">
        <v>15</v>
      </c>
    </row>
    <row r="469" spans="1:12" x14ac:dyDescent="0.3">
      <c r="A469" s="3" t="s">
        <v>768</v>
      </c>
      <c r="B469" s="3" t="s">
        <v>713</v>
      </c>
      <c r="C469" s="13" t="str">
        <f t="shared" si="7"/>
        <v>August</v>
      </c>
      <c r="D469" s="3" t="s">
        <v>46</v>
      </c>
      <c r="E469" s="14" t="s">
        <v>839</v>
      </c>
      <c r="F469" s="3" t="s">
        <v>41</v>
      </c>
      <c r="G469" s="3" t="s">
        <v>19</v>
      </c>
      <c r="H469" s="3" t="s">
        <v>20</v>
      </c>
      <c r="I469" s="3">
        <v>1</v>
      </c>
      <c r="J469" s="3">
        <v>151</v>
      </c>
      <c r="K469" s="3">
        <v>151</v>
      </c>
      <c r="L469" s="3" t="s">
        <v>15</v>
      </c>
    </row>
    <row r="470" spans="1:12" x14ac:dyDescent="0.3">
      <c r="A470" s="3" t="s">
        <v>769</v>
      </c>
      <c r="B470" s="3" t="s">
        <v>34</v>
      </c>
      <c r="C470" s="13" t="str">
        <f t="shared" si="7"/>
        <v>March</v>
      </c>
      <c r="D470" s="3" t="s">
        <v>46</v>
      </c>
      <c r="E470" s="14" t="s">
        <v>839</v>
      </c>
      <c r="F470" s="3" t="s">
        <v>41</v>
      </c>
      <c r="G470" s="3" t="s">
        <v>31</v>
      </c>
      <c r="H470" s="3" t="s">
        <v>14</v>
      </c>
      <c r="I470" s="3">
        <v>1</v>
      </c>
      <c r="J470" s="3">
        <v>206</v>
      </c>
      <c r="K470" s="3">
        <v>206</v>
      </c>
      <c r="L470" s="3" t="s">
        <v>32</v>
      </c>
    </row>
    <row r="471" spans="1:12" x14ac:dyDescent="0.3">
      <c r="A471" s="3" t="s">
        <v>770</v>
      </c>
      <c r="B471" s="3" t="s">
        <v>56</v>
      </c>
      <c r="C471" s="13" t="str">
        <f t="shared" si="7"/>
        <v>April</v>
      </c>
      <c r="D471" s="3" t="s">
        <v>46</v>
      </c>
      <c r="E471" s="14" t="s">
        <v>839</v>
      </c>
      <c r="F471" s="3" t="s">
        <v>41</v>
      </c>
      <c r="G471" s="3" t="s">
        <v>31</v>
      </c>
      <c r="H471" s="3" t="s">
        <v>14</v>
      </c>
      <c r="I471" s="3">
        <v>3</v>
      </c>
      <c r="J471" s="3">
        <v>199</v>
      </c>
      <c r="K471" s="3">
        <v>597</v>
      </c>
      <c r="L471" s="3" t="s">
        <v>32</v>
      </c>
    </row>
    <row r="472" spans="1:12" x14ac:dyDescent="0.3">
      <c r="A472" s="3" t="s">
        <v>771</v>
      </c>
      <c r="B472" s="3" t="s">
        <v>772</v>
      </c>
      <c r="C472" s="13" t="str">
        <f t="shared" si="7"/>
        <v>April</v>
      </c>
      <c r="D472" s="3" t="s">
        <v>54</v>
      </c>
      <c r="E472" s="14" t="s">
        <v>839</v>
      </c>
      <c r="F472" s="3" t="s">
        <v>30</v>
      </c>
      <c r="G472" s="3" t="s">
        <v>42</v>
      </c>
      <c r="H472" s="3" t="s">
        <v>43</v>
      </c>
      <c r="I472" s="3">
        <v>2</v>
      </c>
      <c r="J472" s="3">
        <v>212</v>
      </c>
      <c r="K472" s="3">
        <v>424</v>
      </c>
      <c r="L472" s="3" t="s">
        <v>21</v>
      </c>
    </row>
    <row r="473" spans="1:12" x14ac:dyDescent="0.3">
      <c r="A473" s="3" t="s">
        <v>773</v>
      </c>
      <c r="B473" s="3" t="s">
        <v>167</v>
      </c>
      <c r="C473" s="13" t="str">
        <f t="shared" si="7"/>
        <v>September</v>
      </c>
      <c r="D473" s="3" t="s">
        <v>840</v>
      </c>
      <c r="E473" s="14" t="s">
        <v>839</v>
      </c>
      <c r="F473" s="3" t="s">
        <v>12</v>
      </c>
      <c r="G473" s="3" t="s">
        <v>66</v>
      </c>
      <c r="H473" s="3" t="s">
        <v>43</v>
      </c>
      <c r="I473" s="3">
        <v>4</v>
      </c>
      <c r="J473" s="3">
        <v>121</v>
      </c>
      <c r="K473" s="3">
        <v>484</v>
      </c>
      <c r="L473" s="3" t="s">
        <v>15</v>
      </c>
    </row>
    <row r="474" spans="1:12" x14ac:dyDescent="0.3">
      <c r="A474" s="3" t="s">
        <v>774</v>
      </c>
      <c r="B474" s="3" t="s">
        <v>756</v>
      </c>
      <c r="C474" s="13" t="str">
        <f t="shared" si="7"/>
        <v>August</v>
      </c>
      <c r="D474" s="3" t="s">
        <v>46</v>
      </c>
      <c r="E474" s="14" t="s">
        <v>839</v>
      </c>
      <c r="F474" s="3" t="s">
        <v>41</v>
      </c>
      <c r="G474" s="3" t="s">
        <v>19</v>
      </c>
      <c r="H474" s="3" t="s">
        <v>20</v>
      </c>
      <c r="I474" s="3">
        <v>4</v>
      </c>
      <c r="J474" s="3">
        <v>136</v>
      </c>
      <c r="K474" s="3">
        <v>544</v>
      </c>
      <c r="L474" s="3" t="s">
        <v>38</v>
      </c>
    </row>
    <row r="475" spans="1:12" x14ac:dyDescent="0.3">
      <c r="A475" s="3" t="s">
        <v>775</v>
      </c>
      <c r="B475" s="3" t="s">
        <v>260</v>
      </c>
      <c r="C475" s="13" t="str">
        <f t="shared" si="7"/>
        <v>May</v>
      </c>
      <c r="D475" s="3" t="s">
        <v>46</v>
      </c>
      <c r="E475" s="14" t="s">
        <v>839</v>
      </c>
      <c r="F475" s="3" t="s">
        <v>12</v>
      </c>
      <c r="G475" s="3" t="s">
        <v>13</v>
      </c>
      <c r="H475" s="3" t="s">
        <v>14</v>
      </c>
      <c r="I475" s="3">
        <v>5</v>
      </c>
      <c r="J475" s="3">
        <v>190</v>
      </c>
      <c r="K475" s="3">
        <v>950</v>
      </c>
      <c r="L475" s="3" t="s">
        <v>38</v>
      </c>
    </row>
    <row r="476" spans="1:12" x14ac:dyDescent="0.3">
      <c r="A476" s="3" t="s">
        <v>776</v>
      </c>
      <c r="B476" s="3" t="s">
        <v>221</v>
      </c>
      <c r="C476" s="13" t="str">
        <f t="shared" si="7"/>
        <v>November</v>
      </c>
      <c r="D476" s="3" t="s">
        <v>11</v>
      </c>
      <c r="E476" s="14" t="s">
        <v>839</v>
      </c>
      <c r="F476" s="3" t="s">
        <v>25</v>
      </c>
      <c r="G476" s="3" t="s">
        <v>79</v>
      </c>
      <c r="H476" s="3" t="s">
        <v>20</v>
      </c>
      <c r="I476" s="3">
        <v>3</v>
      </c>
      <c r="J476" s="3">
        <v>165</v>
      </c>
      <c r="K476" s="3">
        <v>495</v>
      </c>
      <c r="L476" s="3" t="s">
        <v>32</v>
      </c>
    </row>
    <row r="477" spans="1:12" x14ac:dyDescent="0.3">
      <c r="A477" s="3" t="s">
        <v>777</v>
      </c>
      <c r="B477" s="3" t="s">
        <v>665</v>
      </c>
      <c r="C477" s="13" t="str">
        <f t="shared" si="7"/>
        <v>September</v>
      </c>
      <c r="D477" s="3" t="s">
        <v>18</v>
      </c>
      <c r="E477" s="14" t="s">
        <v>839</v>
      </c>
      <c r="F477" s="3" t="s">
        <v>25</v>
      </c>
      <c r="G477" s="3" t="s">
        <v>31</v>
      </c>
      <c r="H477" s="3" t="s">
        <v>14</v>
      </c>
      <c r="I477" s="3">
        <v>1</v>
      </c>
      <c r="J477" s="3">
        <v>209</v>
      </c>
      <c r="K477" s="3">
        <v>209</v>
      </c>
      <c r="L477" s="3" t="s">
        <v>32</v>
      </c>
    </row>
    <row r="478" spans="1:12" x14ac:dyDescent="0.3">
      <c r="A478" s="3" t="s">
        <v>778</v>
      </c>
      <c r="B478" s="3" t="s">
        <v>668</v>
      </c>
      <c r="C478" s="13" t="str">
        <f t="shared" si="7"/>
        <v>December</v>
      </c>
      <c r="D478" s="3" t="s">
        <v>840</v>
      </c>
      <c r="E478" s="14" t="s">
        <v>839</v>
      </c>
      <c r="F478" s="3" t="s">
        <v>37</v>
      </c>
      <c r="G478" s="3" t="s">
        <v>26</v>
      </c>
      <c r="H478" s="3" t="s">
        <v>27</v>
      </c>
      <c r="I478" s="3">
        <v>3</v>
      </c>
      <c r="J478" s="3">
        <v>162</v>
      </c>
      <c r="K478" s="3">
        <v>486</v>
      </c>
      <c r="L478" s="3" t="s">
        <v>21</v>
      </c>
    </row>
    <row r="479" spans="1:12" x14ac:dyDescent="0.3">
      <c r="A479" s="3" t="s">
        <v>779</v>
      </c>
      <c r="B479" s="3" t="s">
        <v>588</v>
      </c>
      <c r="C479" s="13" t="str">
        <f t="shared" si="7"/>
        <v>March</v>
      </c>
      <c r="D479" s="3" t="s">
        <v>24</v>
      </c>
      <c r="E479" s="14" t="s">
        <v>839</v>
      </c>
      <c r="F479" s="3" t="s">
        <v>30</v>
      </c>
      <c r="G479" s="3" t="s">
        <v>79</v>
      </c>
      <c r="H479" s="3" t="s">
        <v>20</v>
      </c>
      <c r="I479" s="3">
        <v>4</v>
      </c>
      <c r="J479" s="3">
        <v>147</v>
      </c>
      <c r="K479" s="3">
        <v>588</v>
      </c>
      <c r="L479" s="3" t="s">
        <v>21</v>
      </c>
    </row>
    <row r="480" spans="1:12" x14ac:dyDescent="0.3">
      <c r="A480" s="3" t="s">
        <v>780</v>
      </c>
      <c r="B480" s="3" t="s">
        <v>781</v>
      </c>
      <c r="C480" s="13" t="str">
        <f t="shared" si="7"/>
        <v>January</v>
      </c>
      <c r="D480" s="3" t="s">
        <v>46</v>
      </c>
      <c r="E480" s="14" t="s">
        <v>839</v>
      </c>
      <c r="F480" s="3" t="s">
        <v>41</v>
      </c>
      <c r="G480" s="3" t="s">
        <v>19</v>
      </c>
      <c r="H480" s="3" t="s">
        <v>20</v>
      </c>
      <c r="I480" s="3">
        <v>1</v>
      </c>
      <c r="J480" s="3">
        <v>129</v>
      </c>
      <c r="K480" s="3">
        <v>129</v>
      </c>
      <c r="L480" s="3" t="s">
        <v>21</v>
      </c>
    </row>
    <row r="481" spans="1:12" x14ac:dyDescent="0.3">
      <c r="A481" s="3" t="s">
        <v>782</v>
      </c>
      <c r="B481" s="3" t="s">
        <v>282</v>
      </c>
      <c r="C481" s="13" t="str">
        <f t="shared" si="7"/>
        <v>July</v>
      </c>
      <c r="D481" s="3" t="s">
        <v>54</v>
      </c>
      <c r="E481" s="14" t="s">
        <v>839</v>
      </c>
      <c r="F481" s="3" t="s">
        <v>37</v>
      </c>
      <c r="G481" s="3" t="s">
        <v>13</v>
      </c>
      <c r="H481" s="3" t="s">
        <v>14</v>
      </c>
      <c r="I481" s="3">
        <v>1</v>
      </c>
      <c r="J481" s="3">
        <v>172</v>
      </c>
      <c r="K481" s="3">
        <v>172</v>
      </c>
      <c r="L481" s="3" t="s">
        <v>15</v>
      </c>
    </row>
    <row r="482" spans="1:12" x14ac:dyDescent="0.3">
      <c r="A482" s="3" t="s">
        <v>783</v>
      </c>
      <c r="B482" s="3" t="s">
        <v>122</v>
      </c>
      <c r="C482" s="13" t="str">
        <f t="shared" si="7"/>
        <v>August</v>
      </c>
      <c r="D482" s="3" t="s">
        <v>840</v>
      </c>
      <c r="E482" s="14" t="s">
        <v>839</v>
      </c>
      <c r="F482" s="3" t="s">
        <v>41</v>
      </c>
      <c r="G482" s="3" t="s">
        <v>66</v>
      </c>
      <c r="H482" s="3" t="s">
        <v>43</v>
      </c>
      <c r="I482" s="3">
        <v>4</v>
      </c>
      <c r="J482" s="3">
        <v>100</v>
      </c>
      <c r="K482" s="3">
        <v>400</v>
      </c>
      <c r="L482" s="3" t="s">
        <v>21</v>
      </c>
    </row>
    <row r="483" spans="1:12" x14ac:dyDescent="0.3">
      <c r="A483" s="3" t="s">
        <v>784</v>
      </c>
      <c r="B483" s="3" t="s">
        <v>454</v>
      </c>
      <c r="C483" s="13" t="str">
        <f t="shared" si="7"/>
        <v>September</v>
      </c>
      <c r="D483" s="3" t="s">
        <v>24</v>
      </c>
      <c r="E483" s="14" t="s">
        <v>839</v>
      </c>
      <c r="F483" s="3" t="s">
        <v>30</v>
      </c>
      <c r="G483" s="3" t="s">
        <v>57</v>
      </c>
      <c r="H483" s="3" t="s">
        <v>14</v>
      </c>
      <c r="I483" s="3">
        <v>5</v>
      </c>
      <c r="J483" s="3">
        <v>220</v>
      </c>
      <c r="K483" s="3">
        <v>1100</v>
      </c>
      <c r="L483" s="3" t="s">
        <v>32</v>
      </c>
    </row>
    <row r="484" spans="1:12" x14ac:dyDescent="0.3">
      <c r="A484" s="3" t="s">
        <v>785</v>
      </c>
      <c r="B484" s="3" t="s">
        <v>786</v>
      </c>
      <c r="C484" s="13" t="str">
        <f t="shared" si="7"/>
        <v>August</v>
      </c>
      <c r="D484" s="3" t="s">
        <v>840</v>
      </c>
      <c r="E484" s="14" t="s">
        <v>839</v>
      </c>
      <c r="F484" s="3" t="s">
        <v>12</v>
      </c>
      <c r="G484" s="3" t="s">
        <v>79</v>
      </c>
      <c r="H484" s="3" t="s">
        <v>20</v>
      </c>
      <c r="I484" s="3">
        <v>5</v>
      </c>
      <c r="J484" s="3">
        <v>152</v>
      </c>
      <c r="K484" s="3">
        <v>760</v>
      </c>
      <c r="L484" s="3" t="s">
        <v>32</v>
      </c>
    </row>
    <row r="485" spans="1:12" x14ac:dyDescent="0.3">
      <c r="A485" s="3" t="s">
        <v>787</v>
      </c>
      <c r="B485" s="3" t="s">
        <v>788</v>
      </c>
      <c r="C485" s="13" t="str">
        <f t="shared" si="7"/>
        <v>March</v>
      </c>
      <c r="D485" s="3" t="s">
        <v>18</v>
      </c>
      <c r="E485" s="14" t="s">
        <v>839</v>
      </c>
      <c r="F485" s="3" t="s">
        <v>41</v>
      </c>
      <c r="G485" s="3" t="s">
        <v>13</v>
      </c>
      <c r="H485" s="3" t="s">
        <v>14</v>
      </c>
      <c r="I485" s="3">
        <v>2</v>
      </c>
      <c r="J485" s="3">
        <v>183</v>
      </c>
      <c r="K485" s="3">
        <v>366</v>
      </c>
      <c r="L485" s="3" t="s">
        <v>32</v>
      </c>
    </row>
    <row r="486" spans="1:12" x14ac:dyDescent="0.3">
      <c r="A486" s="3" t="s">
        <v>789</v>
      </c>
      <c r="B486" s="3" t="s">
        <v>91</v>
      </c>
      <c r="C486" s="13" t="str">
        <f t="shared" si="7"/>
        <v>October</v>
      </c>
      <c r="D486" s="3" t="s">
        <v>840</v>
      </c>
      <c r="E486" s="14" t="s">
        <v>839</v>
      </c>
      <c r="F486" s="3" t="s">
        <v>41</v>
      </c>
      <c r="G486" s="3" t="s">
        <v>69</v>
      </c>
      <c r="H486" s="3" t="s">
        <v>14</v>
      </c>
      <c r="I486" s="3">
        <v>4</v>
      </c>
      <c r="J486" s="3">
        <v>161</v>
      </c>
      <c r="K486" s="3">
        <v>644</v>
      </c>
      <c r="L486" s="3" t="s">
        <v>21</v>
      </c>
    </row>
    <row r="487" spans="1:12" x14ac:dyDescent="0.3">
      <c r="A487" s="3" t="s">
        <v>790</v>
      </c>
      <c r="B487" s="3" t="s">
        <v>83</v>
      </c>
      <c r="C487" s="13" t="str">
        <f t="shared" si="7"/>
        <v>January</v>
      </c>
      <c r="D487" s="3" t="s">
        <v>51</v>
      </c>
      <c r="E487" s="14" t="s">
        <v>839</v>
      </c>
      <c r="F487" s="3" t="s">
        <v>30</v>
      </c>
      <c r="G487" s="3" t="s">
        <v>13</v>
      </c>
      <c r="H487" s="3" t="s">
        <v>14</v>
      </c>
      <c r="I487" s="3">
        <v>5</v>
      </c>
      <c r="J487" s="3">
        <v>171</v>
      </c>
      <c r="K487" s="3">
        <v>855</v>
      </c>
      <c r="L487" s="3" t="s">
        <v>38</v>
      </c>
    </row>
    <row r="488" spans="1:12" x14ac:dyDescent="0.3">
      <c r="A488" s="3" t="s">
        <v>791</v>
      </c>
      <c r="B488" s="3" t="s">
        <v>792</v>
      </c>
      <c r="C488" s="13" t="str">
        <f t="shared" si="7"/>
        <v>September</v>
      </c>
      <c r="D488" s="3" t="s">
        <v>51</v>
      </c>
      <c r="E488" s="14" t="s">
        <v>839</v>
      </c>
      <c r="F488" s="3" t="s">
        <v>37</v>
      </c>
      <c r="G488" s="3" t="s">
        <v>74</v>
      </c>
      <c r="H488" s="3" t="s">
        <v>27</v>
      </c>
      <c r="I488" s="3">
        <v>3</v>
      </c>
      <c r="J488" s="3">
        <v>235</v>
      </c>
      <c r="K488" s="3">
        <v>705</v>
      </c>
      <c r="L488" s="3" t="s">
        <v>32</v>
      </c>
    </row>
    <row r="489" spans="1:12" x14ac:dyDescent="0.3">
      <c r="A489" s="3" t="s">
        <v>793</v>
      </c>
      <c r="B489" s="3" t="s">
        <v>402</v>
      </c>
      <c r="C489" s="13" t="str">
        <f t="shared" si="7"/>
        <v>February</v>
      </c>
      <c r="D489" s="3" t="s">
        <v>51</v>
      </c>
      <c r="E489" s="14" t="s">
        <v>839</v>
      </c>
      <c r="F489" s="3" t="s">
        <v>41</v>
      </c>
      <c r="G489" s="3" t="s">
        <v>26</v>
      </c>
      <c r="H489" s="3" t="s">
        <v>27</v>
      </c>
      <c r="I489" s="3">
        <v>2</v>
      </c>
      <c r="J489" s="3">
        <v>158</v>
      </c>
      <c r="K489" s="3">
        <v>316</v>
      </c>
      <c r="L489" s="3" t="s">
        <v>21</v>
      </c>
    </row>
    <row r="490" spans="1:12" x14ac:dyDescent="0.3">
      <c r="A490" s="3" t="s">
        <v>794</v>
      </c>
      <c r="B490" s="3" t="s">
        <v>795</v>
      </c>
      <c r="C490" s="13" t="str">
        <f t="shared" si="7"/>
        <v>March</v>
      </c>
      <c r="D490" s="3" t="s">
        <v>11</v>
      </c>
      <c r="E490" s="14" t="s">
        <v>839</v>
      </c>
      <c r="F490" s="3" t="s">
        <v>41</v>
      </c>
      <c r="G490" s="3" t="s">
        <v>31</v>
      </c>
      <c r="H490" s="3" t="s">
        <v>14</v>
      </c>
      <c r="I490" s="3">
        <v>2</v>
      </c>
      <c r="J490" s="3">
        <v>198</v>
      </c>
      <c r="K490" s="3">
        <v>396</v>
      </c>
      <c r="L490" s="3" t="s">
        <v>15</v>
      </c>
    </row>
    <row r="491" spans="1:12" x14ac:dyDescent="0.3">
      <c r="A491" s="3" t="s">
        <v>796</v>
      </c>
      <c r="B491" s="3" t="s">
        <v>61</v>
      </c>
      <c r="C491" s="13" t="str">
        <f t="shared" si="7"/>
        <v>October</v>
      </c>
      <c r="D491" s="3" t="s">
        <v>24</v>
      </c>
      <c r="E491" s="14" t="s">
        <v>839</v>
      </c>
      <c r="F491" s="3" t="s">
        <v>30</v>
      </c>
      <c r="G491" s="3" t="s">
        <v>26</v>
      </c>
      <c r="H491" s="3" t="s">
        <v>27</v>
      </c>
      <c r="I491" s="3">
        <v>5</v>
      </c>
      <c r="J491" s="3">
        <v>179</v>
      </c>
      <c r="K491" s="3">
        <v>895</v>
      </c>
      <c r="L491" s="3" t="s">
        <v>38</v>
      </c>
    </row>
    <row r="492" spans="1:12" x14ac:dyDescent="0.3">
      <c r="A492" s="3" t="s">
        <v>797</v>
      </c>
      <c r="B492" s="3" t="s">
        <v>798</v>
      </c>
      <c r="C492" s="13" t="str">
        <f t="shared" si="7"/>
        <v>June</v>
      </c>
      <c r="D492" s="3" t="s">
        <v>54</v>
      </c>
      <c r="E492" s="14" t="s">
        <v>839</v>
      </c>
      <c r="F492" s="3" t="s">
        <v>12</v>
      </c>
      <c r="G492" s="3" t="s">
        <v>26</v>
      </c>
      <c r="H492" s="3" t="s">
        <v>27</v>
      </c>
      <c r="I492" s="3">
        <v>3</v>
      </c>
      <c r="J492" s="3">
        <v>159</v>
      </c>
      <c r="K492" s="3">
        <v>477</v>
      </c>
      <c r="L492" s="3" t="s">
        <v>15</v>
      </c>
    </row>
    <row r="493" spans="1:12" x14ac:dyDescent="0.3">
      <c r="A493" s="3" t="s">
        <v>799</v>
      </c>
      <c r="B493" s="3" t="s">
        <v>105</v>
      </c>
      <c r="C493" s="13" t="str">
        <f t="shared" si="7"/>
        <v>January</v>
      </c>
      <c r="D493" s="3" t="s">
        <v>840</v>
      </c>
      <c r="E493" s="14" t="s">
        <v>839</v>
      </c>
      <c r="F493" s="3" t="s">
        <v>41</v>
      </c>
      <c r="G493" s="3" t="s">
        <v>69</v>
      </c>
      <c r="H493" s="3" t="s">
        <v>14</v>
      </c>
      <c r="I493" s="3">
        <v>1</v>
      </c>
      <c r="J493" s="3">
        <v>137</v>
      </c>
      <c r="K493" s="3">
        <v>137</v>
      </c>
      <c r="L493" s="3" t="s">
        <v>32</v>
      </c>
    </row>
    <row r="494" spans="1:12" x14ac:dyDescent="0.3">
      <c r="A494" s="3" t="s">
        <v>800</v>
      </c>
      <c r="B494" s="3" t="s">
        <v>614</v>
      </c>
      <c r="C494" s="13" t="str">
        <f t="shared" si="7"/>
        <v>December</v>
      </c>
      <c r="D494" s="3" t="s">
        <v>24</v>
      </c>
      <c r="E494" s="14" t="s">
        <v>839</v>
      </c>
      <c r="F494" s="3" t="s">
        <v>41</v>
      </c>
      <c r="G494" s="3" t="s">
        <v>66</v>
      </c>
      <c r="H494" s="3" t="s">
        <v>43</v>
      </c>
      <c r="I494" s="3">
        <v>4</v>
      </c>
      <c r="J494" s="3">
        <v>140</v>
      </c>
      <c r="K494" s="3">
        <v>560</v>
      </c>
      <c r="L494" s="3" t="s">
        <v>21</v>
      </c>
    </row>
    <row r="495" spans="1:12" x14ac:dyDescent="0.3">
      <c r="A495" s="3" t="s">
        <v>801</v>
      </c>
      <c r="B495" s="3" t="s">
        <v>207</v>
      </c>
      <c r="C495" s="13" t="str">
        <f t="shared" si="7"/>
        <v>June</v>
      </c>
      <c r="D495" s="3" t="s">
        <v>54</v>
      </c>
      <c r="E495" s="14" t="s">
        <v>839</v>
      </c>
      <c r="F495" s="3" t="s">
        <v>12</v>
      </c>
      <c r="G495" s="3" t="s">
        <v>66</v>
      </c>
      <c r="H495" s="3" t="s">
        <v>43</v>
      </c>
      <c r="I495" s="3">
        <v>4</v>
      </c>
      <c r="J495" s="3">
        <v>112</v>
      </c>
      <c r="K495" s="3">
        <v>448</v>
      </c>
      <c r="L495" s="3" t="s">
        <v>38</v>
      </c>
    </row>
    <row r="496" spans="1:12" x14ac:dyDescent="0.3">
      <c r="A496" s="3" t="s">
        <v>802</v>
      </c>
      <c r="B496" s="3" t="s">
        <v>577</v>
      </c>
      <c r="C496" s="13" t="str">
        <f t="shared" si="7"/>
        <v>November</v>
      </c>
      <c r="D496" s="3" t="s">
        <v>24</v>
      </c>
      <c r="E496" s="14" t="s">
        <v>839</v>
      </c>
      <c r="F496" s="3" t="s">
        <v>37</v>
      </c>
      <c r="G496" s="3" t="s">
        <v>57</v>
      </c>
      <c r="H496" s="3" t="s">
        <v>14</v>
      </c>
      <c r="I496" s="3">
        <v>3</v>
      </c>
      <c r="J496" s="3">
        <v>215</v>
      </c>
      <c r="K496" s="3">
        <v>645</v>
      </c>
      <c r="L496" s="3" t="s">
        <v>21</v>
      </c>
    </row>
    <row r="497" spans="1:12" x14ac:dyDescent="0.3">
      <c r="A497" s="3" t="s">
        <v>803</v>
      </c>
      <c r="B497" s="3" t="s">
        <v>348</v>
      </c>
      <c r="C497" s="13" t="str">
        <f t="shared" si="7"/>
        <v>February</v>
      </c>
      <c r="D497" s="3" t="s">
        <v>11</v>
      </c>
      <c r="E497" s="14" t="s">
        <v>839</v>
      </c>
      <c r="F497" s="3" t="s">
        <v>12</v>
      </c>
      <c r="G497" s="3" t="s">
        <v>57</v>
      </c>
      <c r="H497" s="3" t="s">
        <v>14</v>
      </c>
      <c r="I497" s="3">
        <v>1</v>
      </c>
      <c r="J497" s="3">
        <v>202</v>
      </c>
      <c r="K497" s="3">
        <v>202</v>
      </c>
      <c r="L497" s="3" t="s">
        <v>32</v>
      </c>
    </row>
    <row r="498" spans="1:12" x14ac:dyDescent="0.3">
      <c r="A498" s="3" t="s">
        <v>804</v>
      </c>
      <c r="B498" s="3" t="s">
        <v>78</v>
      </c>
      <c r="C498" s="13" t="str">
        <f t="shared" si="7"/>
        <v>June</v>
      </c>
      <c r="D498" s="3" t="s">
        <v>18</v>
      </c>
      <c r="E498" s="14" t="s">
        <v>839</v>
      </c>
      <c r="F498" s="3" t="s">
        <v>41</v>
      </c>
      <c r="G498" s="3" t="s">
        <v>42</v>
      </c>
      <c r="H498" s="3" t="s">
        <v>43</v>
      </c>
      <c r="I498" s="3">
        <v>4</v>
      </c>
      <c r="J498" s="3">
        <v>217</v>
      </c>
      <c r="K498" s="3">
        <v>868</v>
      </c>
      <c r="L498" s="3" t="s">
        <v>15</v>
      </c>
    </row>
    <row r="499" spans="1:12" x14ac:dyDescent="0.3">
      <c r="A499" s="3" t="s">
        <v>805</v>
      </c>
      <c r="B499" s="3" t="s">
        <v>107</v>
      </c>
      <c r="C499" s="13" t="str">
        <f t="shared" si="7"/>
        <v>September</v>
      </c>
      <c r="D499" s="3" t="s">
        <v>24</v>
      </c>
      <c r="E499" s="14" t="s">
        <v>839</v>
      </c>
      <c r="F499" s="3" t="s">
        <v>41</v>
      </c>
      <c r="G499" s="3" t="s">
        <v>69</v>
      </c>
      <c r="H499" s="3" t="s">
        <v>14</v>
      </c>
      <c r="I499" s="3">
        <v>5</v>
      </c>
      <c r="J499" s="3">
        <v>147</v>
      </c>
      <c r="K499" s="3">
        <v>735</v>
      </c>
      <c r="L499" s="3" t="s">
        <v>38</v>
      </c>
    </row>
    <row r="500" spans="1:12" x14ac:dyDescent="0.3">
      <c r="A500" s="3" t="s">
        <v>806</v>
      </c>
      <c r="B500" s="3" t="s">
        <v>417</v>
      </c>
      <c r="C500" s="13" t="str">
        <f t="shared" si="7"/>
        <v>February</v>
      </c>
      <c r="D500" s="3" t="s">
        <v>51</v>
      </c>
      <c r="E500" s="14" t="s">
        <v>839</v>
      </c>
      <c r="F500" s="3" t="s">
        <v>25</v>
      </c>
      <c r="G500" s="3" t="s">
        <v>26</v>
      </c>
      <c r="H500" s="3" t="s">
        <v>27</v>
      </c>
      <c r="I500" s="3">
        <v>3</v>
      </c>
      <c r="J500" s="3">
        <v>160</v>
      </c>
      <c r="K500" s="3">
        <v>480</v>
      </c>
      <c r="L500" s="3" t="s">
        <v>32</v>
      </c>
    </row>
    <row r="501" spans="1:12" x14ac:dyDescent="0.3">
      <c r="A501" s="3" t="s">
        <v>807</v>
      </c>
      <c r="B501" s="3" t="s">
        <v>798</v>
      </c>
      <c r="C501" s="13" t="str">
        <f t="shared" si="7"/>
        <v>June</v>
      </c>
      <c r="D501" s="3" t="s">
        <v>24</v>
      </c>
      <c r="E501" s="14" t="s">
        <v>839</v>
      </c>
      <c r="F501" s="3" t="s">
        <v>37</v>
      </c>
      <c r="G501" s="3" t="s">
        <v>79</v>
      </c>
      <c r="H501" s="3" t="s">
        <v>20</v>
      </c>
      <c r="I501" s="3">
        <v>2</v>
      </c>
      <c r="J501" s="3">
        <v>178</v>
      </c>
      <c r="K501" s="3">
        <v>356</v>
      </c>
      <c r="L501" s="3" t="s">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9EA69-49FA-4A99-BBF6-FB5DFFA97814}">
  <dimension ref="A2:A16"/>
  <sheetViews>
    <sheetView workbookViewId="0">
      <selection activeCell="A16" sqref="A16"/>
    </sheetView>
  </sheetViews>
  <sheetFormatPr defaultRowHeight="14.4" x14ac:dyDescent="0.3"/>
  <cols>
    <col min="1" max="1" width="40.6640625" customWidth="1"/>
  </cols>
  <sheetData>
    <row r="2" spans="1:1" x14ac:dyDescent="0.3">
      <c r="A2" s="5" t="s">
        <v>808</v>
      </c>
    </row>
    <row r="3" spans="1:1" x14ac:dyDescent="0.3">
      <c r="A3" s="4"/>
    </row>
    <row r="4" spans="1:1" x14ac:dyDescent="0.3">
      <c r="A4" s="1" t="s">
        <v>809</v>
      </c>
    </row>
    <row r="5" spans="1:1" x14ac:dyDescent="0.3">
      <c r="A5" s="1" t="s">
        <v>810</v>
      </c>
    </row>
    <row r="6" spans="1:1" x14ac:dyDescent="0.3">
      <c r="A6" s="1" t="s">
        <v>811</v>
      </c>
    </row>
    <row r="7" spans="1:1" x14ac:dyDescent="0.3">
      <c r="A7" s="1" t="s">
        <v>812</v>
      </c>
    </row>
    <row r="8" spans="1:1" x14ac:dyDescent="0.3">
      <c r="A8" s="1"/>
    </row>
    <row r="9" spans="1:1" x14ac:dyDescent="0.3">
      <c r="A9" s="5" t="s">
        <v>819</v>
      </c>
    </row>
    <row r="11" spans="1:1" x14ac:dyDescent="0.3">
      <c r="A11" s="1" t="s">
        <v>813</v>
      </c>
    </row>
    <row r="12" spans="1:1" x14ac:dyDescent="0.3">
      <c r="A12" s="1" t="s">
        <v>814</v>
      </c>
    </row>
    <row r="13" spans="1:1" x14ac:dyDescent="0.3">
      <c r="A13" s="1" t="s">
        <v>815</v>
      </c>
    </row>
    <row r="14" spans="1:1" x14ac:dyDescent="0.3">
      <c r="A14" s="1" t="s">
        <v>816</v>
      </c>
    </row>
    <row r="15" spans="1:1" x14ac:dyDescent="0.3">
      <c r="A15" s="1" t="s">
        <v>817</v>
      </c>
    </row>
    <row r="16" spans="1:1" x14ac:dyDescent="0.3">
      <c r="A16" s="1" t="s">
        <v>818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2C54D-4B95-4D01-93AA-460111484C32}">
  <dimension ref="A3:I34"/>
  <sheetViews>
    <sheetView zoomScaleNormal="100" workbookViewId="0">
      <selection activeCell="A3" sqref="A3"/>
    </sheetView>
  </sheetViews>
  <sheetFormatPr defaultRowHeight="14.4" x14ac:dyDescent="0.3"/>
  <cols>
    <col min="1" max="1" width="11.6640625" bestFit="1" customWidth="1"/>
    <col min="2" max="2" width="16.44140625" bestFit="1" customWidth="1"/>
    <col min="3" max="3" width="13.109375" bestFit="1" customWidth="1"/>
    <col min="4" max="4" width="13.5546875" bestFit="1" customWidth="1"/>
    <col min="5" max="5" width="12.21875" bestFit="1" customWidth="1"/>
    <col min="6" max="6" width="12.77734375" bestFit="1" customWidth="1"/>
    <col min="7" max="8" width="10.33203125" bestFit="1" customWidth="1"/>
    <col min="9" max="9" width="10.33203125" customWidth="1"/>
    <col min="10" max="270" width="10.33203125" bestFit="1" customWidth="1"/>
    <col min="271" max="271" width="10.77734375" bestFit="1" customWidth="1"/>
  </cols>
  <sheetData>
    <row r="3" spans="1:9" x14ac:dyDescent="0.3">
      <c r="A3" t="s">
        <v>820</v>
      </c>
      <c r="B3" t="s">
        <v>821</v>
      </c>
      <c r="F3" s="11" t="s">
        <v>809</v>
      </c>
      <c r="G3" s="11" t="s">
        <v>810</v>
      </c>
      <c r="H3" s="11" t="s">
        <v>811</v>
      </c>
      <c r="I3" s="11" t="s">
        <v>812</v>
      </c>
    </row>
    <row r="4" spans="1:9" x14ac:dyDescent="0.3">
      <c r="A4">
        <v>266556</v>
      </c>
      <c r="B4">
        <v>500</v>
      </c>
      <c r="F4" s="12">
        <f>GETPIVOTDATA("Sum of Sales",$A$3)</f>
        <v>266556</v>
      </c>
      <c r="G4" s="3">
        <f>GETPIVOTDATA("Count of Order_ID",$A$3)</f>
        <v>500</v>
      </c>
      <c r="H4" s="12">
        <f>F4/G4</f>
        <v>533.11199999999997</v>
      </c>
      <c r="I4" s="3" t="str">
        <f>F8</f>
        <v>Brownie</v>
      </c>
    </row>
    <row r="7" spans="1:9" x14ac:dyDescent="0.3">
      <c r="A7" s="7" t="s">
        <v>822</v>
      </c>
      <c r="B7" t="s">
        <v>820</v>
      </c>
      <c r="F7" s="10" t="s">
        <v>3</v>
      </c>
      <c r="G7" s="10" t="s">
        <v>7</v>
      </c>
    </row>
    <row r="8" spans="1:9" x14ac:dyDescent="0.3">
      <c r="A8" s="8" t="s">
        <v>79</v>
      </c>
      <c r="B8" s="6">
        <v>23480</v>
      </c>
      <c r="F8" s="1" t="str">
        <f t="shared" ref="F8:F17" si="0">A8</f>
        <v>Brownie</v>
      </c>
      <c r="G8" s="9">
        <f>GETPIVOTDATA("Sales",$A$7,"Product","Cold Coffee")</f>
        <v>36103</v>
      </c>
    </row>
    <row r="9" spans="1:9" x14ac:dyDescent="0.3">
      <c r="A9" s="8" t="s">
        <v>13</v>
      </c>
      <c r="B9" s="6">
        <v>27275</v>
      </c>
      <c r="F9" s="1" t="str">
        <f t="shared" si="0"/>
        <v>Cappuccino</v>
      </c>
      <c r="G9" s="9">
        <f>GETPIVOTDATA("Sales",$A$7,"Product","Sandwich")</f>
        <v>34199</v>
      </c>
    </row>
    <row r="10" spans="1:9" x14ac:dyDescent="0.3">
      <c r="A10" s="8" t="s">
        <v>42</v>
      </c>
      <c r="B10" s="6">
        <v>36103</v>
      </c>
      <c r="F10" s="1" t="str">
        <f t="shared" si="0"/>
        <v>Cold Coffee</v>
      </c>
      <c r="G10" s="9">
        <f>GETPIVOTDATA("Sales",$A$7,"Product","Latte")</f>
        <v>32806</v>
      </c>
    </row>
    <row r="11" spans="1:9" x14ac:dyDescent="0.3">
      <c r="A11" s="8" t="s">
        <v>69</v>
      </c>
      <c r="B11" s="6">
        <v>19566</v>
      </c>
      <c r="F11" s="1" t="str">
        <f t="shared" si="0"/>
        <v>Espresso</v>
      </c>
      <c r="G11" s="9">
        <f>GETPIVOTDATA("Sales",$A$7,"Product","Mocha")</f>
        <v>29789</v>
      </c>
    </row>
    <row r="12" spans="1:9" x14ac:dyDescent="0.3">
      <c r="A12" s="8" t="s">
        <v>26</v>
      </c>
      <c r="B12" s="6">
        <v>27774</v>
      </c>
      <c r="F12" s="1" t="str">
        <f t="shared" si="0"/>
        <v>Fries</v>
      </c>
      <c r="G12" s="9">
        <f>GETPIVOTDATA("Sales",$A$7,"Product","Fries")</f>
        <v>27774</v>
      </c>
    </row>
    <row r="13" spans="1:9" x14ac:dyDescent="0.3">
      <c r="A13" s="8" t="s">
        <v>31</v>
      </c>
      <c r="B13" s="6">
        <v>32806</v>
      </c>
      <c r="F13" s="1" t="str">
        <f t="shared" si="0"/>
        <v>Latte</v>
      </c>
      <c r="G13" s="9">
        <f>GETPIVOTDATA("Sales",$A$7,"Product","Cappuccino")</f>
        <v>27275</v>
      </c>
    </row>
    <row r="14" spans="1:9" x14ac:dyDescent="0.3">
      <c r="A14" s="8" t="s">
        <v>57</v>
      </c>
      <c r="B14" s="6">
        <v>29789</v>
      </c>
      <c r="F14" s="1" t="str">
        <f t="shared" si="0"/>
        <v>Mocha</v>
      </c>
      <c r="G14" s="9">
        <f>GETPIVOTDATA("Sales",$A$7,"Product","Brownie")</f>
        <v>23480</v>
      </c>
    </row>
    <row r="15" spans="1:9" x14ac:dyDescent="0.3">
      <c r="A15" s="8" t="s">
        <v>19</v>
      </c>
      <c r="B15" s="6">
        <v>19052</v>
      </c>
      <c r="F15" s="1" t="str">
        <f t="shared" si="0"/>
        <v>Muffin</v>
      </c>
      <c r="G15" s="9">
        <f>GETPIVOTDATA("Sales",$A$7,"Product","Espresso")</f>
        <v>19566</v>
      </c>
    </row>
    <row r="16" spans="1:9" x14ac:dyDescent="0.3">
      <c r="A16" s="8" t="s">
        <v>74</v>
      </c>
      <c r="B16" s="6">
        <v>34199</v>
      </c>
      <c r="F16" s="1" t="str">
        <f t="shared" si="0"/>
        <v>Sandwich</v>
      </c>
      <c r="G16" s="9">
        <f>GETPIVOTDATA("Sales",$A$7,"Product","Muffin")</f>
        <v>19052</v>
      </c>
    </row>
    <row r="17" spans="1:7" x14ac:dyDescent="0.3">
      <c r="A17" s="8" t="s">
        <v>66</v>
      </c>
      <c r="B17" s="6">
        <v>16512</v>
      </c>
      <c r="F17" s="1" t="str">
        <f t="shared" si="0"/>
        <v>Tea</v>
      </c>
      <c r="G17" s="9">
        <f>GETPIVOTDATA("Sales",$A$7,"Product","Tea")</f>
        <v>16512</v>
      </c>
    </row>
    <row r="18" spans="1:7" x14ac:dyDescent="0.3">
      <c r="A18" s="8" t="s">
        <v>823</v>
      </c>
      <c r="B18" s="6">
        <v>266556</v>
      </c>
    </row>
    <row r="21" spans="1:7" x14ac:dyDescent="0.3">
      <c r="A21" s="7" t="s">
        <v>822</v>
      </c>
      <c r="B21" t="s">
        <v>820</v>
      </c>
    </row>
    <row r="22" spans="1:7" x14ac:dyDescent="0.3">
      <c r="A22" s="8" t="s">
        <v>825</v>
      </c>
      <c r="B22" s="6">
        <v>26962</v>
      </c>
    </row>
    <row r="23" spans="1:7" x14ac:dyDescent="0.3">
      <c r="A23" s="8" t="s">
        <v>826</v>
      </c>
      <c r="B23" s="6">
        <v>22536</v>
      </c>
    </row>
    <row r="24" spans="1:7" x14ac:dyDescent="0.3">
      <c r="A24" s="8" t="s">
        <v>827</v>
      </c>
      <c r="B24" s="6">
        <v>24552</v>
      </c>
    </row>
    <row r="25" spans="1:7" x14ac:dyDescent="0.3">
      <c r="A25" s="8" t="s">
        <v>828</v>
      </c>
      <c r="B25" s="6">
        <v>20212</v>
      </c>
    </row>
    <row r="26" spans="1:7" x14ac:dyDescent="0.3">
      <c r="A26" s="8" t="s">
        <v>829</v>
      </c>
      <c r="B26" s="6">
        <v>19196</v>
      </c>
    </row>
    <row r="27" spans="1:7" x14ac:dyDescent="0.3">
      <c r="A27" s="8" t="s">
        <v>830</v>
      </c>
      <c r="B27" s="6">
        <v>26250</v>
      </c>
    </row>
    <row r="28" spans="1:7" x14ac:dyDescent="0.3">
      <c r="A28" s="8" t="s">
        <v>831</v>
      </c>
      <c r="B28" s="6">
        <v>16436</v>
      </c>
    </row>
    <row r="29" spans="1:7" x14ac:dyDescent="0.3">
      <c r="A29" s="8" t="s">
        <v>832</v>
      </c>
      <c r="B29" s="6">
        <v>20451</v>
      </c>
    </row>
    <row r="30" spans="1:7" x14ac:dyDescent="0.3">
      <c r="A30" s="8" t="s">
        <v>833</v>
      </c>
      <c r="B30" s="6">
        <v>23600</v>
      </c>
    </row>
    <row r="31" spans="1:7" x14ac:dyDescent="0.3">
      <c r="A31" s="8" t="s">
        <v>834</v>
      </c>
      <c r="B31" s="6">
        <v>29046</v>
      </c>
    </row>
    <row r="32" spans="1:7" x14ac:dyDescent="0.3">
      <c r="A32" s="8" t="s">
        <v>835</v>
      </c>
      <c r="B32" s="6">
        <v>17601</v>
      </c>
    </row>
    <row r="33" spans="1:2" x14ac:dyDescent="0.3">
      <c r="A33" s="8" t="s">
        <v>836</v>
      </c>
      <c r="B33" s="6">
        <v>19714</v>
      </c>
    </row>
    <row r="34" spans="1:2" x14ac:dyDescent="0.3">
      <c r="A34" s="8" t="s">
        <v>823</v>
      </c>
      <c r="B34" s="6">
        <v>266556</v>
      </c>
    </row>
  </sheetData>
  <autoFilter ref="F7:G17" xr:uid="{6952C54D-4B95-4D01-93AA-460111484C32}">
    <sortState xmlns:xlrd2="http://schemas.microsoft.com/office/spreadsheetml/2017/richdata2" ref="F8:G17">
      <sortCondition descending="1" ref="G7:G17"/>
    </sortState>
  </autoFilter>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CCD_Sales</vt:lpstr>
      <vt:lpstr>Ideas</vt:lpstr>
      <vt:lpstr>Pivot-T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Guna Sampath</cp:lastModifiedBy>
  <dcterms:created xsi:type="dcterms:W3CDTF">2026-08-05T05:17:24Z</dcterms:created>
  <dcterms:modified xsi:type="dcterms:W3CDTF">2026-08-08T04:50:14Z</dcterms:modified>
</cp:coreProperties>
</file>